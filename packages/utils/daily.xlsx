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14" activeTab="25"/>
  </bookViews>
  <sheets>
    <sheet name="01" sheetId="3" r:id="rId1"/>
    <sheet name="02" sheetId="36" r:id="rId2"/>
    <sheet name="03" sheetId="37" r:id="rId3"/>
    <sheet name="04" sheetId="38" r:id="rId4"/>
    <sheet name="05" sheetId="39" r:id="rId5"/>
    <sheet name="06" sheetId="40" r:id="rId6"/>
    <sheet name="07" sheetId="41" r:id="rId7"/>
    <sheet name="08" sheetId="42" r:id="rId8"/>
    <sheet name="09" sheetId="43" r:id="rId9"/>
    <sheet name="10" sheetId="44" r:id="rId10"/>
    <sheet name="11" sheetId="45" r:id="rId11"/>
    <sheet name="12" sheetId="46" r:id="rId12"/>
    <sheet name="13" sheetId="47" r:id="rId13"/>
    <sheet name="14" sheetId="48" r:id="rId14"/>
    <sheet name="15" sheetId="49" r:id="rId15"/>
    <sheet name="16" sheetId="50" r:id="rId16"/>
    <sheet name="17" sheetId="51" r:id="rId17"/>
    <sheet name="18" sheetId="52" r:id="rId18"/>
    <sheet name="19" sheetId="53" r:id="rId19"/>
    <sheet name="20" sheetId="54" r:id="rId20"/>
    <sheet name="21" sheetId="55" r:id="rId21"/>
    <sheet name="22" sheetId="56" r:id="rId22"/>
    <sheet name="23" sheetId="57" r:id="rId23"/>
    <sheet name="24" sheetId="58" r:id="rId24"/>
    <sheet name="25" sheetId="59" r:id="rId25"/>
    <sheet name="26" sheetId="60" r:id="rId26"/>
    <sheet name="27" sheetId="61" r:id="rId27"/>
    <sheet name="28" sheetId="62" r:id="rId28"/>
    <sheet name="29" sheetId="63" r:id="rId29"/>
    <sheet name="30" sheetId="64" r:id="rId30"/>
    <sheet name="31" sheetId="65" r:id="rId31"/>
  </sheets>
  <definedNames>
    <definedName name="_xlnm.Print_Area" localSheetId="0">'01'!$A$1:$L$24</definedName>
    <definedName name="_xlnm.Print_Area" localSheetId="1">'02'!$A$1:$L$24</definedName>
    <definedName name="_xlnm.Print_Area" localSheetId="2">'03'!$A$1:$L$24</definedName>
    <definedName name="_xlnm.Print_Area" localSheetId="3">'04'!$A$1:$L$24</definedName>
    <definedName name="_xlnm.Print_Area" localSheetId="4">'05'!$A$1:$L$24</definedName>
    <definedName name="_xlnm.Print_Area" localSheetId="5">'06'!$A$1:$L$24</definedName>
    <definedName name="_xlnm.Print_Area" localSheetId="6">'07'!$A$1:$L$25</definedName>
    <definedName name="_xlnm.Print_Area" localSheetId="7">'08'!$A$1:$L$25</definedName>
    <definedName name="_xlnm.Print_Area" localSheetId="8">'09'!$A$1:$L$24</definedName>
    <definedName name="_xlnm.Print_Area" localSheetId="9">'10'!$A$1:$L$24</definedName>
    <definedName name="_xlnm.Print_Area" localSheetId="10">'11'!$A$1:$L$24</definedName>
    <definedName name="_xlnm.Print_Area" localSheetId="11">'12'!$A$1:$L$24</definedName>
    <definedName name="_xlnm.Print_Area" localSheetId="12">'13'!$A$1:$L$24</definedName>
    <definedName name="_xlnm.Print_Area" localSheetId="13">'14'!$A$1:$L$24</definedName>
    <definedName name="_xlnm.Print_Area" localSheetId="14">'15'!$A$1:$L$24</definedName>
    <definedName name="_xlnm.Print_Area" localSheetId="15">'16'!$A$1:$L$24</definedName>
    <definedName name="_xlnm.Print_Area" localSheetId="16">'17'!$A$1:$L$24</definedName>
    <definedName name="_xlnm.Print_Area" localSheetId="17">'18'!$A$1:$L$24</definedName>
    <definedName name="_xlnm.Print_Area" localSheetId="18">'19'!$A$1:$L$24</definedName>
    <definedName name="_xlnm.Print_Area" localSheetId="19">'20'!$A$1:$L$25</definedName>
    <definedName name="_xlnm.Print_Area" localSheetId="20">'21'!$A$1:$L$25</definedName>
    <definedName name="_xlnm.Print_Area" localSheetId="21">'22'!$A$1:$L$25</definedName>
    <definedName name="_xlnm.Print_Area" localSheetId="22">'23'!$A$1:$L$24</definedName>
    <definedName name="_xlnm.Print_Area" localSheetId="23">'24'!$A$1:$L$24</definedName>
    <definedName name="_xlnm.Print_Area" localSheetId="24">'25'!$A$1:$L$24</definedName>
    <definedName name="_xlnm.Print_Area" localSheetId="25">'26'!$A$1:$L$25</definedName>
    <definedName name="_xlnm.Print_Area" localSheetId="26">'27'!$A$1:$L$24</definedName>
    <definedName name="_xlnm.Print_Area" localSheetId="27">'28'!$A$1:$L$24</definedName>
    <definedName name="_xlnm.Print_Area" localSheetId="28">'29'!$A$1:$L$26</definedName>
    <definedName name="_xlnm.Print_Area" localSheetId="29">'30'!$A$1:$L$24</definedName>
    <definedName name="_xlnm.Print_Area" localSheetId="30">'31'!$A$1:$L$24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60" l="1"/>
  <c r="D9" i="41" l="1"/>
  <c r="G10" i="65" l="1"/>
  <c r="F10" i="65"/>
  <c r="K9" i="65"/>
  <c r="H9" i="65"/>
  <c r="F9" i="65"/>
  <c r="D9" i="65"/>
  <c r="G10" i="64"/>
  <c r="F10" i="64"/>
  <c r="K9" i="64"/>
  <c r="D9" i="64"/>
  <c r="G10" i="63"/>
  <c r="F10" i="63"/>
  <c r="K9" i="63"/>
  <c r="D9" i="63"/>
  <c r="G10" i="62"/>
  <c r="F10" i="62"/>
  <c r="K9" i="62"/>
  <c r="D9" i="62"/>
  <c r="G10" i="61"/>
  <c r="F10" i="61"/>
  <c r="K9" i="61"/>
  <c r="H9" i="61"/>
  <c r="F9" i="61"/>
  <c r="D9" i="61"/>
  <c r="G10" i="60"/>
  <c r="F10" i="60"/>
  <c r="K9" i="60"/>
  <c r="H9" i="60"/>
  <c r="F9" i="60"/>
  <c r="G10" i="59"/>
  <c r="F10" i="59"/>
  <c r="K9" i="59"/>
  <c r="H9" i="59"/>
  <c r="F9" i="59"/>
  <c r="D9" i="59"/>
  <c r="G10" i="58"/>
  <c r="F10" i="58"/>
  <c r="K9" i="58"/>
  <c r="H9" i="58"/>
  <c r="F9" i="58"/>
  <c r="D9" i="58"/>
  <c r="G10" i="57"/>
  <c r="F10" i="57"/>
  <c r="K9" i="57"/>
  <c r="H9" i="57"/>
  <c r="D9" i="57"/>
  <c r="G10" i="56"/>
  <c r="F10" i="56"/>
  <c r="K9" i="56"/>
  <c r="F9" i="56"/>
  <c r="D9" i="56"/>
  <c r="G10" i="55" l="1"/>
  <c r="F10" i="55"/>
  <c r="K9" i="55"/>
  <c r="H9" i="55"/>
  <c r="F9" i="55"/>
  <c r="G10" i="54"/>
  <c r="F10" i="54"/>
  <c r="K9" i="54"/>
  <c r="H9" i="54"/>
  <c r="F9" i="54"/>
  <c r="D9" i="54"/>
  <c r="G10" i="53"/>
  <c r="F10" i="53"/>
  <c r="K9" i="53"/>
  <c r="H9" i="53"/>
  <c r="F9" i="53"/>
  <c r="D9" i="53"/>
  <c r="G10" i="52"/>
  <c r="F10" i="52"/>
  <c r="K9" i="52"/>
  <c r="H9" i="52"/>
  <c r="F9" i="52"/>
  <c r="D9" i="52"/>
  <c r="G10" i="51" l="1"/>
  <c r="F10" i="51"/>
  <c r="K9" i="51"/>
  <c r="H9" i="51"/>
  <c r="F9" i="51"/>
  <c r="D9" i="51"/>
  <c r="G10" i="50"/>
  <c r="F10" i="50"/>
  <c r="K9" i="50"/>
  <c r="H9" i="50"/>
  <c r="F9" i="50"/>
  <c r="D9" i="50"/>
  <c r="G10" i="49"/>
  <c r="F10" i="49"/>
  <c r="K9" i="49"/>
  <c r="D9" i="49"/>
  <c r="G10" i="48"/>
  <c r="F10" i="48"/>
  <c r="K9" i="48"/>
  <c r="H9" i="48"/>
  <c r="F9" i="48"/>
  <c r="D9" i="48"/>
  <c r="G10" i="47" l="1"/>
  <c r="F10" i="47"/>
  <c r="K9" i="47"/>
  <c r="H9" i="47"/>
  <c r="F9" i="47"/>
  <c r="D9" i="47"/>
  <c r="G10" i="46"/>
  <c r="F10" i="46"/>
  <c r="K9" i="46"/>
  <c r="D9" i="46"/>
  <c r="G10" i="45"/>
  <c r="F10" i="45"/>
  <c r="K9" i="45"/>
  <c r="H9" i="45"/>
  <c r="F9" i="45"/>
  <c r="D9" i="45"/>
  <c r="G10" i="44"/>
  <c r="F10" i="44"/>
  <c r="K9" i="44"/>
  <c r="H9" i="44"/>
  <c r="F9" i="44"/>
  <c r="D9" i="44"/>
  <c r="G10" i="43"/>
  <c r="F10" i="43"/>
  <c r="K9" i="43"/>
  <c r="D9" i="43"/>
  <c r="G10" i="42" l="1"/>
  <c r="F10" i="42"/>
  <c r="K9" i="42"/>
  <c r="H9" i="42"/>
  <c r="F9" i="42"/>
  <c r="D9" i="42"/>
  <c r="G10" i="41"/>
  <c r="F10" i="41"/>
  <c r="K9" i="41"/>
  <c r="H9" i="41"/>
  <c r="F9" i="41"/>
  <c r="G10" i="40"/>
  <c r="F10" i="40"/>
  <c r="K9" i="40"/>
  <c r="H9" i="40"/>
  <c r="F9" i="40"/>
  <c r="D9" i="40"/>
  <c r="G10" i="39"/>
  <c r="F10" i="39"/>
  <c r="K9" i="39"/>
  <c r="H9" i="39"/>
  <c r="F9" i="39"/>
  <c r="D9" i="39"/>
  <c r="G10" i="38"/>
  <c r="F10" i="38"/>
  <c r="K9" i="38"/>
  <c r="H9" i="38"/>
  <c r="F9" i="38"/>
  <c r="D9" i="38"/>
  <c r="G10" i="37"/>
  <c r="F10" i="37"/>
  <c r="K9" i="37"/>
  <c r="H9" i="37"/>
  <c r="F9" i="37"/>
  <c r="D9" i="37"/>
  <c r="G10" i="36"/>
  <c r="F10" i="36"/>
  <c r="K9" i="36"/>
  <c r="H9" i="36"/>
  <c r="F9" i="36"/>
  <c r="D9" i="36"/>
  <c r="D9" i="3" l="1"/>
  <c r="F9" i="3"/>
  <c r="H9" i="3"/>
  <c r="K9" i="3"/>
  <c r="F10" i="3"/>
  <c r="G10" i="3"/>
  <c r="D9" i="55" l="1"/>
</calcChain>
</file>

<file path=xl/sharedStrings.xml><?xml version="1.0" encoding="utf-8"?>
<sst xmlns="http://schemas.openxmlformats.org/spreadsheetml/2006/main" count="836" uniqueCount="57">
  <si>
    <t>5-10 (%)</t>
  </si>
  <si>
    <t>0-5 (%)</t>
  </si>
  <si>
    <t>&gt;60 (%)</t>
  </si>
  <si>
    <t>10-60 (%)</t>
  </si>
  <si>
    <t>&lt;10 (%)</t>
  </si>
  <si>
    <t xml:space="preserve">CO2 &gt;40mm K1K2 (%) </t>
  </si>
  <si>
    <t>CO2 Klin no.2 (%)</t>
  </si>
  <si>
    <t>CO2 Klin no.1 (%)</t>
  </si>
  <si>
    <t>Time</t>
  </si>
  <si>
    <t>5-10 Average (%)</t>
  </si>
  <si>
    <t>0-5 Average (%)</t>
  </si>
  <si>
    <t>&gt;60 Average (%)</t>
  </si>
  <si>
    <t>10-60 Average (%)</t>
  </si>
  <si>
    <t>&lt;10 Average (%)</t>
  </si>
  <si>
    <t>CO2 Average (%)</t>
  </si>
  <si>
    <t>Number Of Trucks</t>
  </si>
  <si>
    <t>Tonnage</t>
  </si>
  <si>
    <r>
      <t xml:space="preserve">Subject: </t>
    </r>
    <r>
      <rPr>
        <sz val="14"/>
        <color theme="1"/>
        <rFont val="Times New Roman"/>
        <family val="1"/>
      </rPr>
      <t>Chemical &amp; Physical Properties of Calcined Lime Report</t>
    </r>
  </si>
  <si>
    <t>Foolad Sang</t>
  </si>
  <si>
    <t>Sunny</t>
  </si>
  <si>
    <t>Location</t>
  </si>
  <si>
    <t>Weather Condition</t>
  </si>
  <si>
    <t>Date of Report</t>
  </si>
  <si>
    <t>Report No.</t>
  </si>
  <si>
    <t>Contract No.</t>
  </si>
  <si>
    <r>
      <t xml:space="preserve">Project Name: </t>
    </r>
    <r>
      <rPr>
        <b/>
        <sz val="14"/>
        <color theme="1"/>
        <rFont val="B Nazanin"/>
        <charset val="178"/>
      </rPr>
      <t>بازرسی مواد اولیه خریداری شده در محل تامین کنندگان</t>
    </r>
  </si>
  <si>
    <r>
      <t xml:space="preserve">Project Name : </t>
    </r>
    <r>
      <rPr>
        <b/>
        <sz val="14"/>
        <color theme="1"/>
        <rFont val="B Nazanin"/>
        <charset val="178"/>
      </rPr>
      <t>بازرسی مواد اولیه خریداری شده در محل تامین کنندگان</t>
    </r>
  </si>
  <si>
    <t>1404/07/01</t>
  </si>
  <si>
    <t>1404/07/02</t>
  </si>
  <si>
    <t>1404/07/03</t>
  </si>
  <si>
    <t>1404/07/04</t>
  </si>
  <si>
    <t>1404/07/05</t>
  </si>
  <si>
    <t>1404/07/06</t>
  </si>
  <si>
    <t>1404/07/07</t>
  </si>
  <si>
    <t>1404/07/08</t>
  </si>
  <si>
    <t>1404/07/09</t>
  </si>
  <si>
    <t>1404/07/10</t>
  </si>
  <si>
    <t>1404/07/11</t>
  </si>
  <si>
    <t>1404/07/12</t>
  </si>
  <si>
    <t>1404/07/13</t>
  </si>
  <si>
    <t>1404/07/14</t>
  </si>
  <si>
    <t>1404/07/15</t>
  </si>
  <si>
    <t>1404/07/16</t>
  </si>
  <si>
    <t>1404/07/17</t>
  </si>
  <si>
    <t>1404/07/18</t>
  </si>
  <si>
    <t>1404/07/19</t>
  </si>
  <si>
    <t>1404/07/20</t>
  </si>
  <si>
    <t>1404/07/21</t>
  </si>
  <si>
    <t>1404/07/22</t>
  </si>
  <si>
    <t>1404/07/23</t>
  </si>
  <si>
    <t>1404/07/24</t>
  </si>
  <si>
    <t>1404/07/25</t>
  </si>
  <si>
    <t>1404/07/26</t>
  </si>
  <si>
    <t>1404/07/27</t>
  </si>
  <si>
    <t>1404/07/28</t>
  </si>
  <si>
    <t>1404/07/29</t>
  </si>
  <si>
    <t>1404/07/30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</si>
</sst>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h:mm;@"/>
    <numFmt numFmtId="165" formatCode="0.0"/>
    <numFmt numFmtId="166" formatCode="_-* #,##0.00_-;_-* #,##0.00\-;_-* &quot;-&quot;??_-;_-@_-"/>
  </numFmts>
  <fonts count="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Arial"/>
      <family val="2"/>
      <scheme val="minor"/>
    </font>
    <font>
      <b/>
      <sz val="14"/>
      <color theme="1"/>
      <name val="B Nazanin"/>
      <charset val="178"/>
    </font>
    <font>
      <sz val="18"/>
      <color theme="1"/>
      <name val="Times New Roman"/>
      <family val="1"/>
    </font>
    <font>
      <sz val="14"/>
      <color theme="1"/>
      <name val="Times New Roman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8FE2FF"/>
        <bgColor indexed="64"/>
      </patternFill>
    </fill>
  </fills>
  <borders count="19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6" fontId="1" fillId="0" borderId="0" applyFont="0" applyFill="0" applyBorder="0" applyAlignment="0" applyProtection="0"/>
  </cellStyleXfs>
  <cellXfs count="125">
    <xf numFmtId="0" fontId="0" fillId="0" borderId="0" xfId="0"/>
    <xf numFmtId="164" fontId="3" fillId="0" borderId="4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 shrinkToFit="1" readingOrder="1"/>
    </xf>
    <xf numFmtId="0" fontId="2" fillId="0" borderId="10" xfId="0" applyFont="1" applyBorder="1"/>
    <xf numFmtId="0" fontId="2" fillId="0" borderId="13" xfId="0" applyFont="1" applyBorder="1"/>
    <xf numFmtId="165" fontId="2" fillId="0" borderId="7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164" fontId="3" fillId="0" borderId="1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/>
    </xf>
    <xf numFmtId="2" fontId="7" fillId="0" borderId="13" xfId="0" applyNumberFormat="1" applyFont="1" applyBorder="1" applyAlignment="1">
      <alignment vertical="center"/>
    </xf>
    <xf numFmtId="164" fontId="3" fillId="0" borderId="16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165" fontId="2" fillId="0" borderId="7" xfId="0" applyNumberFormat="1" applyFont="1" applyBorder="1" applyAlignment="1">
      <alignment horizontal="center" vertical="center"/>
    </xf>
    <xf numFmtId="165" fontId="2" fillId="0" borderId="14" xfId="0" applyNumberFormat="1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164" fontId="3" fillId="0" borderId="14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4" xfId="1" applyNumberFormat="1" applyFont="1" applyBorder="1" applyAlignment="1">
      <alignment horizontal="center" vertical="center"/>
    </xf>
    <xf numFmtId="0" fontId="2" fillId="0" borderId="12" xfId="1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5" fontId="2" fillId="0" borderId="11" xfId="0" applyNumberFormat="1" applyFont="1" applyBorder="1" applyAlignment="1">
      <alignment horizontal="center" vertical="center"/>
    </xf>
    <xf numFmtId="165" fontId="2" fillId="0" borderId="10" xfId="0" applyNumberFormat="1" applyFont="1" applyBorder="1" applyAlignment="1">
      <alignment horizontal="center" vertical="center"/>
    </xf>
    <xf numFmtId="165" fontId="2" fillId="0" borderId="9" xfId="0" applyNumberFormat="1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2" fillId="0" borderId="14" xfId="0" applyNumberFormat="1" applyFont="1" applyBorder="1" applyAlignment="1">
      <alignment horizontal="center" vertical="center"/>
    </xf>
    <xf numFmtId="2" fontId="7" fillId="0" borderId="1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2" fontId="7" fillId="0" borderId="9" xfId="0" applyNumberFormat="1" applyFont="1" applyBorder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/>
    </xf>
    <xf numFmtId="2" fontId="2" fillId="0" borderId="17" xfId="0" applyNumberFormat="1" applyFont="1" applyBorder="1" applyAlignment="1">
      <alignment horizontal="center" vertical="center"/>
    </xf>
    <xf numFmtId="2" fontId="2" fillId="0" borderId="1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Comma 2" xfId="1"/>
    <cellStyle name="Normal" xfId="0" builtinId="0"/>
  </cellStyles>
  <dxfs count="747"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8798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3238980" y="190501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topLeftCell="A7" zoomScale="70" zoomScaleNormal="100" zoomScaleSheetLayoutView="70" zoomScalePageLayoutView="80" workbookViewId="0">
      <selection activeCell="E4" sqref="E4:G4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100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2"/>
    </row>
    <row r="2" spans="1:12" ht="40.5" customHeight="1" x14ac:dyDescent="0.2">
      <c r="A2" s="103" t="s">
        <v>25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5"/>
    </row>
    <row r="3" spans="1:12" ht="40.5" customHeight="1" x14ac:dyDescent="0.2">
      <c r="A3" s="106" t="s">
        <v>24</v>
      </c>
      <c r="B3" s="106"/>
      <c r="C3" s="106" t="s">
        <v>23</v>
      </c>
      <c r="D3" s="106"/>
      <c r="E3" s="106" t="s">
        <v>22</v>
      </c>
      <c r="F3" s="106"/>
      <c r="G3" s="106"/>
      <c r="H3" s="106" t="s">
        <v>21</v>
      </c>
      <c r="I3" s="106"/>
      <c r="J3" s="106"/>
      <c r="K3" s="106" t="s">
        <v>20</v>
      </c>
      <c r="L3" s="106"/>
    </row>
    <row r="4" spans="1:12" ht="40.5" customHeight="1" x14ac:dyDescent="0.2">
      <c r="A4" s="91">
        <v>48527531</v>
      </c>
      <c r="B4" s="91"/>
      <c r="C4" s="91"/>
      <c r="D4" s="91"/>
      <c r="E4" s="91" t="s">
        <v>27</v>
      </c>
      <c r="F4" s="91"/>
      <c r="G4" s="91"/>
      <c r="H4" s="91" t="s">
        <v>19</v>
      </c>
      <c r="I4" s="91"/>
      <c r="J4" s="91"/>
      <c r="K4" s="92" t="s">
        <v>18</v>
      </c>
      <c r="L4" s="92"/>
    </row>
    <row r="5" spans="1:12" ht="40.5" customHeight="1" thickBot="1" x14ac:dyDescent="0.25">
      <c r="A5" s="97" t="s">
        <v>17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67" t="s">
        <v>16</v>
      </c>
      <c r="B7" s="93" t="s">
        <v>15</v>
      </c>
      <c r="C7" s="94"/>
      <c r="D7" s="87" t="s">
        <v>14</v>
      </c>
      <c r="E7" s="87"/>
      <c r="F7" s="89" t="s">
        <v>13</v>
      </c>
      <c r="G7" s="90"/>
      <c r="H7" s="87" t="s">
        <v>12</v>
      </c>
      <c r="I7" s="87"/>
      <c r="J7" s="87"/>
      <c r="K7" s="69" t="s">
        <v>11</v>
      </c>
      <c r="L7" s="70"/>
    </row>
    <row r="8" spans="1:12" ht="24.95" customHeight="1" thickBot="1" x14ac:dyDescent="0.25">
      <c r="A8" s="68"/>
      <c r="B8" s="95"/>
      <c r="C8" s="96"/>
      <c r="D8" s="88"/>
      <c r="E8" s="88"/>
      <c r="F8" s="5" t="s">
        <v>10</v>
      </c>
      <c r="G8" s="5" t="s">
        <v>9</v>
      </c>
      <c r="H8" s="88"/>
      <c r="I8" s="88"/>
      <c r="J8" s="88"/>
      <c r="K8" s="71"/>
      <c r="L8" s="72"/>
    </row>
    <row r="9" spans="1:12" ht="24.95" customHeight="1" thickBot="1" x14ac:dyDescent="0.25">
      <c r="A9" s="73">
        <v>449.7</v>
      </c>
      <c r="B9" s="75">
        <v>17</v>
      </c>
      <c r="C9" s="76"/>
      <c r="D9" s="42">
        <f>AVERAGE(B13:E24)</f>
        <v>1.9924999999999999</v>
      </c>
      <c r="E9" s="44"/>
      <c r="F9" s="61">
        <f>AVERAGE(I13,I15,I17,I19)</f>
        <v>6.5</v>
      </c>
      <c r="G9" s="62"/>
      <c r="H9" s="79">
        <f>AVERAGE(K13,K15,K17,K19)</f>
        <v>93.5</v>
      </c>
      <c r="I9" s="80"/>
      <c r="J9" s="81"/>
      <c r="K9" s="79">
        <f>AVERAGE(L13,L15,L17,L19)</f>
        <v>0</v>
      </c>
      <c r="L9" s="81"/>
    </row>
    <row r="10" spans="1:12" ht="24.95" customHeight="1" thickBot="1" x14ac:dyDescent="0.25">
      <c r="A10" s="74"/>
      <c r="B10" s="77"/>
      <c r="C10" s="78"/>
      <c r="D10" s="48"/>
      <c r="E10" s="50"/>
      <c r="F10" s="3">
        <f>AVERAGE(I14,I16,I18,I20)</f>
        <v>3.0666666666666664</v>
      </c>
      <c r="G10" s="3">
        <f>AVERAGE(J14,J16,J18,J20)</f>
        <v>3.4333333333333336</v>
      </c>
      <c r="H10" s="82"/>
      <c r="I10" s="83"/>
      <c r="J10" s="84"/>
      <c r="K10" s="82"/>
      <c r="L10" s="84"/>
    </row>
    <row r="11" spans="1:12" ht="24.95" customHeight="1" thickBot="1" x14ac:dyDescent="0.25">
      <c r="A11" s="67" t="s">
        <v>8</v>
      </c>
      <c r="B11" s="69" t="s">
        <v>7</v>
      </c>
      <c r="C11" s="70"/>
      <c r="D11" s="69" t="s">
        <v>6</v>
      </c>
      <c r="E11" s="70"/>
      <c r="F11" s="69" t="s">
        <v>5</v>
      </c>
      <c r="G11" s="87"/>
      <c r="H11" s="70"/>
      <c r="I11" s="89" t="s">
        <v>4</v>
      </c>
      <c r="J11" s="90"/>
      <c r="K11" s="85" t="s">
        <v>3</v>
      </c>
      <c r="L11" s="70" t="s">
        <v>2</v>
      </c>
    </row>
    <row r="12" spans="1:12" ht="24.95" customHeight="1" thickBot="1" x14ac:dyDescent="0.25">
      <c r="A12" s="68"/>
      <c r="B12" s="71"/>
      <c r="C12" s="72"/>
      <c r="D12" s="71"/>
      <c r="E12" s="72"/>
      <c r="F12" s="71"/>
      <c r="G12" s="88"/>
      <c r="H12" s="72"/>
      <c r="I12" s="5" t="s">
        <v>1</v>
      </c>
      <c r="J12" s="4" t="s">
        <v>0</v>
      </c>
      <c r="K12" s="86"/>
      <c r="L12" s="72"/>
    </row>
    <row r="13" spans="1:12" ht="24.95" customHeight="1" thickBot="1" x14ac:dyDescent="0.25">
      <c r="A13" s="53">
        <v>0.33333333333333331</v>
      </c>
      <c r="B13" s="42">
        <v>4.72</v>
      </c>
      <c r="C13" s="44"/>
      <c r="D13" s="42">
        <v>3.36</v>
      </c>
      <c r="E13" s="44"/>
      <c r="F13" s="55">
        <v>2.35</v>
      </c>
      <c r="G13" s="56"/>
      <c r="H13" s="57"/>
      <c r="I13" s="61">
        <v>7.6</v>
      </c>
      <c r="J13" s="62"/>
      <c r="K13" s="39">
        <v>92.4</v>
      </c>
      <c r="L13" s="39">
        <v>0</v>
      </c>
    </row>
    <row r="14" spans="1:12" ht="24.95" customHeight="1" thickBot="1" x14ac:dyDescent="0.25">
      <c r="A14" s="54"/>
      <c r="B14" s="48"/>
      <c r="C14" s="50"/>
      <c r="D14" s="48"/>
      <c r="E14" s="50"/>
      <c r="F14" s="58"/>
      <c r="G14" s="59"/>
      <c r="H14" s="60"/>
      <c r="I14" s="3">
        <v>3.9</v>
      </c>
      <c r="J14" s="2">
        <v>3.7</v>
      </c>
      <c r="K14" s="40"/>
      <c r="L14" s="40"/>
    </row>
    <row r="15" spans="1:12" ht="24.95" customHeight="1" thickBot="1" x14ac:dyDescent="0.25">
      <c r="A15" s="53">
        <v>0.41666666666666669</v>
      </c>
      <c r="B15" s="42"/>
      <c r="C15" s="44"/>
      <c r="D15" s="42"/>
      <c r="E15" s="44"/>
      <c r="F15" s="55">
        <v>6.95</v>
      </c>
      <c r="G15" s="56"/>
      <c r="H15" s="57"/>
      <c r="I15" s="61">
        <v>5.8</v>
      </c>
      <c r="J15" s="62"/>
      <c r="K15" s="39">
        <v>94.2</v>
      </c>
      <c r="L15" s="39">
        <v>0</v>
      </c>
    </row>
    <row r="16" spans="1:12" ht="24.95" customHeight="1" thickBot="1" x14ac:dyDescent="0.25">
      <c r="A16" s="54"/>
      <c r="B16" s="48"/>
      <c r="C16" s="50"/>
      <c r="D16" s="48"/>
      <c r="E16" s="50"/>
      <c r="F16" s="58"/>
      <c r="G16" s="59"/>
      <c r="H16" s="60"/>
      <c r="I16" s="3">
        <v>2.8</v>
      </c>
      <c r="J16" s="2">
        <v>3</v>
      </c>
      <c r="K16" s="40"/>
      <c r="L16" s="40"/>
    </row>
    <row r="17" spans="1:12" ht="24.95" customHeight="1" thickBot="1" x14ac:dyDescent="0.25">
      <c r="A17" s="53">
        <v>0.5</v>
      </c>
      <c r="B17" s="42">
        <v>2.57</v>
      </c>
      <c r="C17" s="44"/>
      <c r="D17" s="42">
        <v>1.07</v>
      </c>
      <c r="E17" s="44"/>
      <c r="F17" s="63"/>
      <c r="G17" s="64"/>
      <c r="H17" s="11"/>
      <c r="I17" s="61"/>
      <c r="J17" s="62"/>
      <c r="K17" s="39"/>
      <c r="L17" s="39"/>
    </row>
    <row r="18" spans="1:12" ht="24.95" customHeight="1" thickBot="1" x14ac:dyDescent="0.25">
      <c r="A18" s="54"/>
      <c r="B18" s="48"/>
      <c r="C18" s="50"/>
      <c r="D18" s="48"/>
      <c r="E18" s="50"/>
      <c r="F18" s="65"/>
      <c r="G18" s="66"/>
      <c r="H18" s="10"/>
      <c r="I18" s="3"/>
      <c r="J18" s="9"/>
      <c r="K18" s="40"/>
      <c r="L18" s="40"/>
    </row>
    <row r="19" spans="1:12" ht="24.95" customHeight="1" thickBot="1" x14ac:dyDescent="0.25">
      <c r="A19" s="53">
        <v>0.58333333333333337</v>
      </c>
      <c r="B19" s="42"/>
      <c r="C19" s="43"/>
      <c r="D19" s="43"/>
      <c r="E19" s="44"/>
      <c r="F19" s="55">
        <v>7.18</v>
      </c>
      <c r="G19" s="56"/>
      <c r="H19" s="57"/>
      <c r="I19" s="61">
        <v>6.1</v>
      </c>
      <c r="J19" s="62"/>
      <c r="K19" s="39">
        <v>93.9</v>
      </c>
      <c r="L19" s="39">
        <v>0</v>
      </c>
    </row>
    <row r="20" spans="1:12" ht="24.95" customHeight="1" thickBot="1" x14ac:dyDescent="0.25">
      <c r="A20" s="54"/>
      <c r="B20" s="48"/>
      <c r="C20" s="49"/>
      <c r="D20" s="49"/>
      <c r="E20" s="50"/>
      <c r="F20" s="58"/>
      <c r="G20" s="59"/>
      <c r="H20" s="60"/>
      <c r="I20" s="3">
        <v>2.5</v>
      </c>
      <c r="J20" s="2">
        <v>3.6</v>
      </c>
      <c r="K20" s="40"/>
      <c r="L20" s="40"/>
    </row>
    <row r="21" spans="1:12" ht="50.1" customHeight="1" thickBot="1" x14ac:dyDescent="0.25">
      <c r="A21" s="1">
        <v>0.66666666666666663</v>
      </c>
      <c r="B21" s="41">
        <v>1.81</v>
      </c>
      <c r="C21" s="41"/>
      <c r="D21" s="41">
        <v>1.34</v>
      </c>
      <c r="E21" s="41"/>
      <c r="F21" s="42"/>
      <c r="G21" s="43"/>
      <c r="H21" s="43"/>
      <c r="I21" s="43"/>
      <c r="J21" s="43"/>
      <c r="K21" s="43"/>
      <c r="L21" s="44"/>
    </row>
    <row r="22" spans="1:12" ht="50.1" customHeight="1" thickBot="1" x14ac:dyDescent="0.25">
      <c r="A22" s="1">
        <v>0.83333333333333337</v>
      </c>
      <c r="B22" s="41">
        <v>1.08</v>
      </c>
      <c r="C22" s="41"/>
      <c r="D22" s="41">
        <v>0.76</v>
      </c>
      <c r="E22" s="41"/>
      <c r="F22" s="45"/>
      <c r="G22" s="46"/>
      <c r="H22" s="46"/>
      <c r="I22" s="46"/>
      <c r="J22" s="46"/>
      <c r="K22" s="46"/>
      <c r="L22" s="47"/>
    </row>
    <row r="23" spans="1:12" ht="50.1" customHeight="1" thickBot="1" x14ac:dyDescent="0.25">
      <c r="A23" s="1">
        <v>1</v>
      </c>
      <c r="B23" s="51">
        <v>1.43</v>
      </c>
      <c r="C23" s="52"/>
      <c r="D23" s="51">
        <v>1.26</v>
      </c>
      <c r="E23" s="52"/>
      <c r="F23" s="45"/>
      <c r="G23" s="46"/>
      <c r="H23" s="46"/>
      <c r="I23" s="46"/>
      <c r="J23" s="46"/>
      <c r="K23" s="46"/>
      <c r="L23" s="47"/>
    </row>
    <row r="24" spans="1:12" ht="50.1" customHeight="1" thickBot="1" x14ac:dyDescent="0.25">
      <c r="A24" s="1">
        <v>0.16666666666666666</v>
      </c>
      <c r="B24" s="41">
        <v>1.81</v>
      </c>
      <c r="C24" s="41"/>
      <c r="D24" s="41">
        <v>2.7</v>
      </c>
      <c r="E24" s="41"/>
      <c r="F24" s="48"/>
      <c r="G24" s="49"/>
      <c r="H24" s="49"/>
      <c r="I24" s="49"/>
      <c r="J24" s="49"/>
      <c r="K24" s="49"/>
      <c r="L24" s="50"/>
    </row>
  </sheetData>
  <mergeCells count="68">
    <mergeCell ref="A1:L1"/>
    <mergeCell ref="A2:L2"/>
    <mergeCell ref="A3:B3"/>
    <mergeCell ref="C3:D3"/>
    <mergeCell ref="E3:G3"/>
    <mergeCell ref="H3:J3"/>
    <mergeCell ref="K3:L3"/>
    <mergeCell ref="E4:G4"/>
    <mergeCell ref="H4:J4"/>
    <mergeCell ref="K4:L4"/>
    <mergeCell ref="K9:L10"/>
    <mergeCell ref="A7:A8"/>
    <mergeCell ref="B7:C8"/>
    <mergeCell ref="D7:E8"/>
    <mergeCell ref="F7:G7"/>
    <mergeCell ref="H7:J8"/>
    <mergeCell ref="K7:L8"/>
    <mergeCell ref="A5:L5"/>
    <mergeCell ref="A4:B4"/>
    <mergeCell ref="C4:D4"/>
    <mergeCell ref="A19:A20"/>
    <mergeCell ref="D11:E12"/>
    <mergeCell ref="F11:H12"/>
    <mergeCell ref="I11:J11"/>
    <mergeCell ref="A17:A18"/>
    <mergeCell ref="B19:E20"/>
    <mergeCell ref="F19:H20"/>
    <mergeCell ref="I19:J19"/>
    <mergeCell ref="K13:K14"/>
    <mergeCell ref="L13:L14"/>
    <mergeCell ref="A11:A12"/>
    <mergeCell ref="B11:C12"/>
    <mergeCell ref="A9:A10"/>
    <mergeCell ref="B9:C10"/>
    <mergeCell ref="D9:E10"/>
    <mergeCell ref="F9:G9"/>
    <mergeCell ref="H9:J10"/>
    <mergeCell ref="K11:K12"/>
    <mergeCell ref="L11:L12"/>
    <mergeCell ref="A13:A14"/>
    <mergeCell ref="B13:C14"/>
    <mergeCell ref="D13:E14"/>
    <mergeCell ref="F13:H14"/>
    <mergeCell ref="I13:J13"/>
    <mergeCell ref="L15:L16"/>
    <mergeCell ref="K17:K18"/>
    <mergeCell ref="L17:L18"/>
    <mergeCell ref="A15:A16"/>
    <mergeCell ref="B15:C16"/>
    <mergeCell ref="D15:E16"/>
    <mergeCell ref="F15:H16"/>
    <mergeCell ref="I15:J15"/>
    <mergeCell ref="K15:K16"/>
    <mergeCell ref="B17:C18"/>
    <mergeCell ref="D17:E18"/>
    <mergeCell ref="F17:G18"/>
    <mergeCell ref="I17:J17"/>
    <mergeCell ref="L19:L20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</mergeCells>
  <conditionalFormatting sqref="D9">
    <cfRule type="cellIs" dxfId="746" priority="44" operator="greaterThan">
      <formula>7</formula>
    </cfRule>
  </conditionalFormatting>
  <conditionalFormatting sqref="F9">
    <cfRule type="cellIs" dxfId="745" priority="31" operator="greaterThan">
      <formula>20</formula>
    </cfRule>
  </conditionalFormatting>
  <conditionalFormatting sqref="H9:J10">
    <cfRule type="cellIs" dxfId="744" priority="30" operator="lessThan">
      <formula>80</formula>
    </cfRule>
  </conditionalFormatting>
  <conditionalFormatting sqref="K9:L10">
    <cfRule type="cellIs" dxfId="743" priority="29" operator="greaterThan">
      <formula>0</formula>
    </cfRule>
  </conditionalFormatting>
  <conditionalFormatting sqref="B24:E24 B23 D23 B22:E22 B21:F21 B15 B19 D13 B13">
    <cfRule type="cellIs" dxfId="742" priority="21" operator="greaterThan">
      <formula>7</formula>
    </cfRule>
  </conditionalFormatting>
  <conditionalFormatting sqref="I15 I13">
    <cfRule type="cellIs" dxfId="741" priority="20" operator="greaterThan">
      <formula>20</formula>
    </cfRule>
  </conditionalFormatting>
  <conditionalFormatting sqref="K15 K13">
    <cfRule type="cellIs" dxfId="740" priority="19" stopIfTrue="1" operator="lessThan">
      <formula>80</formula>
    </cfRule>
  </conditionalFormatting>
  <conditionalFormatting sqref="L15 L13">
    <cfRule type="cellIs" dxfId="739" priority="18" operator="greaterThan">
      <formula>0</formula>
    </cfRule>
  </conditionalFormatting>
  <conditionalFormatting sqref="F15 F19 F13">
    <cfRule type="cellIs" dxfId="738" priority="17" stopIfTrue="1" operator="greaterThan">
      <formula>10</formula>
    </cfRule>
  </conditionalFormatting>
  <conditionalFormatting sqref="K19">
    <cfRule type="cellIs" dxfId="737" priority="16" stopIfTrue="1" operator="lessThan">
      <formula>80</formula>
    </cfRule>
  </conditionalFormatting>
  <conditionalFormatting sqref="I14:J14">
    <cfRule type="cellIs" dxfId="736" priority="15" operator="greaterThan">
      <formula>20</formula>
    </cfRule>
  </conditionalFormatting>
  <conditionalFormatting sqref="J16">
    <cfRule type="cellIs" dxfId="735" priority="14" operator="greaterThan">
      <formula>20</formula>
    </cfRule>
  </conditionalFormatting>
  <conditionalFormatting sqref="I16:I17">
    <cfRule type="cellIs" dxfId="734" priority="13" operator="greaterThan">
      <formula>20</formula>
    </cfRule>
  </conditionalFormatting>
  <conditionalFormatting sqref="I18">
    <cfRule type="cellIs" dxfId="733" priority="12" operator="greaterThan">
      <formula>20</formula>
    </cfRule>
  </conditionalFormatting>
  <conditionalFormatting sqref="I19">
    <cfRule type="cellIs" dxfId="732" priority="11" operator="greaterThan">
      <formula>20</formula>
    </cfRule>
  </conditionalFormatting>
  <conditionalFormatting sqref="I20">
    <cfRule type="cellIs" dxfId="731" priority="10" operator="greaterThan">
      <formula>20</formula>
    </cfRule>
  </conditionalFormatting>
  <conditionalFormatting sqref="J20">
    <cfRule type="cellIs" dxfId="730" priority="9" operator="greaterThan">
      <formula>20</formula>
    </cfRule>
  </conditionalFormatting>
  <conditionalFormatting sqref="D15">
    <cfRule type="cellIs" dxfId="729" priority="8" operator="greaterThan">
      <formula>7</formula>
    </cfRule>
  </conditionalFormatting>
  <conditionalFormatting sqref="D17">
    <cfRule type="cellIs" dxfId="728" priority="7" operator="greaterThan">
      <formula>7</formula>
    </cfRule>
  </conditionalFormatting>
  <conditionalFormatting sqref="B17">
    <cfRule type="cellIs" dxfId="727" priority="6" operator="greaterThan">
      <formula>7</formula>
    </cfRule>
  </conditionalFormatting>
  <conditionalFormatting sqref="L17">
    <cfRule type="cellIs" dxfId="726" priority="4" operator="greaterThan">
      <formula>0</formula>
    </cfRule>
  </conditionalFormatting>
  <conditionalFormatting sqref="L19">
    <cfRule type="cellIs" dxfId="725" priority="3" operator="greaterThan">
      <formula>0</formula>
    </cfRule>
  </conditionalFormatting>
  <conditionalFormatting sqref="F17">
    <cfRule type="cellIs" dxfId="724" priority="2" stopIfTrue="1" operator="greaterThan">
      <formula>10</formula>
    </cfRule>
  </conditionalFormatting>
  <conditionalFormatting sqref="K17">
    <cfRule type="cellIs" dxfId="723" priority="1" operator="greaterThan">
      <formula>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topLeftCell="A13" zoomScale="62" zoomScaleNormal="100" zoomScaleSheetLayoutView="62" zoomScalePageLayoutView="80" workbookViewId="0">
      <selection activeCell="L19" sqref="L19:L20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100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2"/>
    </row>
    <row r="2" spans="1:12" ht="40.5" customHeight="1" x14ac:dyDescent="0.2">
      <c r="A2" s="103" t="s">
        <v>25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5"/>
    </row>
    <row r="3" spans="1:12" ht="40.5" customHeight="1" x14ac:dyDescent="0.2">
      <c r="A3" s="106" t="s">
        <v>24</v>
      </c>
      <c r="B3" s="106"/>
      <c r="C3" s="106" t="s">
        <v>23</v>
      </c>
      <c r="D3" s="106"/>
      <c r="E3" s="106" t="s">
        <v>22</v>
      </c>
      <c r="F3" s="106"/>
      <c r="G3" s="106"/>
      <c r="H3" s="106" t="s">
        <v>21</v>
      </c>
      <c r="I3" s="106"/>
      <c r="J3" s="106"/>
      <c r="K3" s="106" t="s">
        <v>20</v>
      </c>
      <c r="L3" s="106"/>
    </row>
    <row r="4" spans="1:12" ht="40.5" customHeight="1" x14ac:dyDescent="0.2">
      <c r="A4" s="91">
        <v>48527531</v>
      </c>
      <c r="B4" s="91"/>
      <c r="C4" s="91"/>
      <c r="D4" s="91"/>
      <c r="E4" s="91" t="s">
        <v>28</v>
      </c>
      <c r="F4" s="91"/>
      <c r="G4" s="91"/>
      <c r="H4" s="91" t="s">
        <v>19</v>
      </c>
      <c r="I4" s="91"/>
      <c r="J4" s="91"/>
      <c r="K4" s="92" t="s">
        <v>18</v>
      </c>
      <c r="L4" s="92"/>
    </row>
    <row r="5" spans="1:12" ht="40.5" customHeight="1" thickBot="1" x14ac:dyDescent="0.25">
      <c r="A5" s="97" t="s">
        <v>17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67" t="s">
        <v>16</v>
      </c>
      <c r="B7" s="93" t="s">
        <v>15</v>
      </c>
      <c r="C7" s="94"/>
      <c r="D7" s="87" t="s">
        <v>14</v>
      </c>
      <c r="E7" s="87"/>
      <c r="F7" s="89" t="s">
        <v>13</v>
      </c>
      <c r="G7" s="90"/>
      <c r="H7" s="87" t="s">
        <v>12</v>
      </c>
      <c r="I7" s="87"/>
      <c r="J7" s="87"/>
      <c r="K7" s="69" t="s">
        <v>11</v>
      </c>
      <c r="L7" s="70"/>
    </row>
    <row r="8" spans="1:12" ht="24.95" customHeight="1" thickBot="1" x14ac:dyDescent="0.25">
      <c r="A8" s="68"/>
      <c r="B8" s="95"/>
      <c r="C8" s="96"/>
      <c r="D8" s="88"/>
      <c r="E8" s="88"/>
      <c r="F8" s="5" t="s">
        <v>10</v>
      </c>
      <c r="G8" s="5" t="s">
        <v>9</v>
      </c>
      <c r="H8" s="88"/>
      <c r="I8" s="88"/>
      <c r="J8" s="88"/>
      <c r="K8" s="71"/>
      <c r="L8" s="72"/>
    </row>
    <row r="9" spans="1:12" ht="24.95" customHeight="1" thickBot="1" x14ac:dyDescent="0.25">
      <c r="A9" s="73">
        <v>476.7</v>
      </c>
      <c r="B9" s="75">
        <v>18</v>
      </c>
      <c r="C9" s="76"/>
      <c r="D9" s="42">
        <f>AVERAGE(B13:E24)</f>
        <v>2.9341666666666661</v>
      </c>
      <c r="E9" s="44"/>
      <c r="F9" s="61">
        <f>AVERAGE(I13,I15,I17,I19)</f>
        <v>15.6</v>
      </c>
      <c r="G9" s="62"/>
      <c r="H9" s="79">
        <f>AVERAGE(K13,K15,K17,K19)</f>
        <v>84.399999999999991</v>
      </c>
      <c r="I9" s="80"/>
      <c r="J9" s="81"/>
      <c r="K9" s="79">
        <f>AVERAGE(L13,L15,L17,L19)</f>
        <v>0</v>
      </c>
      <c r="L9" s="81"/>
    </row>
    <row r="10" spans="1:12" ht="24.95" customHeight="1" thickBot="1" x14ac:dyDescent="0.25">
      <c r="A10" s="74"/>
      <c r="B10" s="77"/>
      <c r="C10" s="78"/>
      <c r="D10" s="48"/>
      <c r="E10" s="50"/>
      <c r="F10" s="3">
        <f>AVERAGE(I14,I16,I18,I20)</f>
        <v>9.9</v>
      </c>
      <c r="G10" s="3">
        <f>AVERAGE(J14,J16,J18,J20)</f>
        <v>5.7</v>
      </c>
      <c r="H10" s="82"/>
      <c r="I10" s="83"/>
      <c r="J10" s="84"/>
      <c r="K10" s="82"/>
      <c r="L10" s="84"/>
    </row>
    <row r="11" spans="1:12" ht="24.95" customHeight="1" thickBot="1" x14ac:dyDescent="0.25">
      <c r="A11" s="67" t="s">
        <v>8</v>
      </c>
      <c r="B11" s="69" t="s">
        <v>7</v>
      </c>
      <c r="C11" s="70"/>
      <c r="D11" s="69" t="s">
        <v>6</v>
      </c>
      <c r="E11" s="70"/>
      <c r="F11" s="69" t="s">
        <v>5</v>
      </c>
      <c r="G11" s="87"/>
      <c r="H11" s="70"/>
      <c r="I11" s="89" t="s">
        <v>4</v>
      </c>
      <c r="J11" s="90"/>
      <c r="K11" s="85" t="s">
        <v>3</v>
      </c>
      <c r="L11" s="70" t="s">
        <v>2</v>
      </c>
    </row>
    <row r="12" spans="1:12" ht="24.95" customHeight="1" thickBot="1" x14ac:dyDescent="0.25">
      <c r="A12" s="68"/>
      <c r="B12" s="71"/>
      <c r="C12" s="72"/>
      <c r="D12" s="71"/>
      <c r="E12" s="72"/>
      <c r="F12" s="71"/>
      <c r="G12" s="88"/>
      <c r="H12" s="72"/>
      <c r="I12" s="5" t="s">
        <v>1</v>
      </c>
      <c r="J12" s="14" t="s">
        <v>0</v>
      </c>
      <c r="K12" s="86"/>
      <c r="L12" s="72"/>
    </row>
    <row r="13" spans="1:12" ht="24.95" customHeight="1" thickBot="1" x14ac:dyDescent="0.25">
      <c r="A13" s="53">
        <v>0.33333333333333331</v>
      </c>
      <c r="B13" s="42">
        <v>2.1800000000000002</v>
      </c>
      <c r="C13" s="44"/>
      <c r="D13" s="42">
        <v>2.5</v>
      </c>
      <c r="E13" s="44"/>
      <c r="F13" s="63">
        <v>4.0999999999999996</v>
      </c>
      <c r="G13" s="64"/>
      <c r="H13" s="107"/>
      <c r="I13" s="61">
        <v>7</v>
      </c>
      <c r="J13" s="62"/>
      <c r="K13" s="39">
        <v>93</v>
      </c>
      <c r="L13" s="39">
        <v>0</v>
      </c>
    </row>
    <row r="14" spans="1:12" ht="24.95" customHeight="1" thickBot="1" x14ac:dyDescent="0.25">
      <c r="A14" s="54"/>
      <c r="B14" s="48"/>
      <c r="C14" s="50"/>
      <c r="D14" s="48"/>
      <c r="E14" s="50"/>
      <c r="F14" s="65"/>
      <c r="G14" s="66"/>
      <c r="H14" s="108"/>
      <c r="I14" s="3">
        <v>3.2</v>
      </c>
      <c r="J14" s="15">
        <v>3.8</v>
      </c>
      <c r="K14" s="40"/>
      <c r="L14" s="40"/>
    </row>
    <row r="15" spans="1:12" ht="24.95" customHeight="1" thickBot="1" x14ac:dyDescent="0.25">
      <c r="A15" s="53">
        <v>0.41666666666666669</v>
      </c>
      <c r="B15" s="42"/>
      <c r="C15" s="44"/>
      <c r="D15" s="42"/>
      <c r="E15" s="44"/>
      <c r="F15" s="63">
        <v>2.78</v>
      </c>
      <c r="G15" s="64"/>
      <c r="H15" s="107"/>
      <c r="I15" s="61">
        <v>15.4</v>
      </c>
      <c r="J15" s="62"/>
      <c r="K15" s="39">
        <v>84.6</v>
      </c>
      <c r="L15" s="39">
        <v>0</v>
      </c>
    </row>
    <row r="16" spans="1:12" ht="24.95" customHeight="1" thickBot="1" x14ac:dyDescent="0.25">
      <c r="A16" s="54"/>
      <c r="B16" s="48"/>
      <c r="C16" s="50"/>
      <c r="D16" s="48"/>
      <c r="E16" s="50"/>
      <c r="F16" s="65"/>
      <c r="G16" s="66"/>
      <c r="H16" s="108"/>
      <c r="I16" s="3">
        <v>10</v>
      </c>
      <c r="J16" s="15">
        <v>5.4</v>
      </c>
      <c r="K16" s="40"/>
      <c r="L16" s="40"/>
    </row>
    <row r="17" spans="1:12" ht="24.95" customHeight="1" thickBot="1" x14ac:dyDescent="0.25">
      <c r="A17" s="53">
        <v>0.5</v>
      </c>
      <c r="B17" s="42">
        <v>5.95</v>
      </c>
      <c r="C17" s="44"/>
      <c r="D17" s="42">
        <v>1.81</v>
      </c>
      <c r="E17" s="44"/>
      <c r="F17" s="63"/>
      <c r="G17" s="64"/>
      <c r="H17" s="12"/>
      <c r="I17" s="61"/>
      <c r="J17" s="62"/>
      <c r="K17" s="39"/>
      <c r="L17" s="39"/>
    </row>
    <row r="18" spans="1:12" ht="24.95" customHeight="1" thickBot="1" x14ac:dyDescent="0.25">
      <c r="A18" s="54"/>
      <c r="B18" s="48"/>
      <c r="C18" s="50"/>
      <c r="D18" s="48"/>
      <c r="E18" s="50"/>
      <c r="F18" s="65"/>
      <c r="G18" s="66"/>
      <c r="H18" s="10"/>
      <c r="I18" s="3"/>
      <c r="J18" s="13"/>
      <c r="K18" s="40"/>
      <c r="L18" s="40"/>
    </row>
    <row r="19" spans="1:12" ht="24.95" customHeight="1" thickBot="1" x14ac:dyDescent="0.25">
      <c r="A19" s="53">
        <v>0.58333333333333337</v>
      </c>
      <c r="B19" s="42"/>
      <c r="C19" s="43"/>
      <c r="D19" s="43"/>
      <c r="E19" s="44"/>
      <c r="F19" s="63">
        <v>6.1</v>
      </c>
      <c r="G19" s="64"/>
      <c r="H19" s="107"/>
      <c r="I19" s="61">
        <v>24.4</v>
      </c>
      <c r="J19" s="62"/>
      <c r="K19" s="39">
        <v>75.599999999999994</v>
      </c>
      <c r="L19" s="39">
        <v>0</v>
      </c>
    </row>
    <row r="20" spans="1:12" ht="24.95" customHeight="1" thickBot="1" x14ac:dyDescent="0.25">
      <c r="A20" s="54"/>
      <c r="B20" s="48"/>
      <c r="C20" s="49"/>
      <c r="D20" s="49"/>
      <c r="E20" s="50"/>
      <c r="F20" s="65"/>
      <c r="G20" s="66"/>
      <c r="H20" s="108"/>
      <c r="I20" s="3">
        <v>16.5</v>
      </c>
      <c r="J20" s="15">
        <v>7.9</v>
      </c>
      <c r="K20" s="40"/>
      <c r="L20" s="40"/>
    </row>
    <row r="21" spans="1:12" ht="50.1" customHeight="1" thickBot="1" x14ac:dyDescent="0.25">
      <c r="A21" s="1">
        <v>0.66666666666666663</v>
      </c>
      <c r="B21" s="41">
        <v>1.92</v>
      </c>
      <c r="C21" s="41"/>
      <c r="D21" s="41">
        <v>2.81</v>
      </c>
      <c r="E21" s="41"/>
      <c r="F21" s="42"/>
      <c r="G21" s="43"/>
      <c r="H21" s="43"/>
      <c r="I21" s="43"/>
      <c r="J21" s="43"/>
      <c r="K21" s="43"/>
      <c r="L21" s="44"/>
    </row>
    <row r="22" spans="1:12" ht="50.1" customHeight="1" thickBot="1" x14ac:dyDescent="0.25">
      <c r="A22" s="1">
        <v>0.83333333333333337</v>
      </c>
      <c r="B22" s="41">
        <v>2.02</v>
      </c>
      <c r="C22" s="41"/>
      <c r="D22" s="41">
        <v>2.65</v>
      </c>
      <c r="E22" s="41"/>
      <c r="F22" s="45"/>
      <c r="G22" s="46"/>
      <c r="H22" s="46"/>
      <c r="I22" s="46"/>
      <c r="J22" s="46"/>
      <c r="K22" s="46"/>
      <c r="L22" s="47"/>
    </row>
    <row r="23" spans="1:12" ht="50.1" customHeight="1" thickBot="1" x14ac:dyDescent="0.25">
      <c r="A23" s="1">
        <v>1</v>
      </c>
      <c r="B23" s="51">
        <v>1.08</v>
      </c>
      <c r="C23" s="52"/>
      <c r="D23" s="51">
        <v>5.18</v>
      </c>
      <c r="E23" s="52"/>
      <c r="F23" s="45"/>
      <c r="G23" s="46"/>
      <c r="H23" s="46"/>
      <c r="I23" s="46"/>
      <c r="J23" s="46"/>
      <c r="K23" s="46"/>
      <c r="L23" s="47"/>
    </row>
    <row r="24" spans="1:12" ht="50.1" customHeight="1" thickBot="1" x14ac:dyDescent="0.25">
      <c r="A24" s="1">
        <v>0.16666666666666666</v>
      </c>
      <c r="B24" s="41">
        <v>3.86</v>
      </c>
      <c r="C24" s="41"/>
      <c r="D24" s="41">
        <v>3.25</v>
      </c>
      <c r="E24" s="41"/>
      <c r="F24" s="48"/>
      <c r="G24" s="49"/>
      <c r="H24" s="49"/>
      <c r="I24" s="49"/>
      <c r="J24" s="49"/>
      <c r="K24" s="49"/>
      <c r="L24" s="50"/>
    </row>
  </sheetData>
  <mergeCells count="68"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17:K18"/>
    <mergeCell ref="L17:L18"/>
    <mergeCell ref="A15:A16"/>
    <mergeCell ref="B15:C16"/>
    <mergeCell ref="D15:E16"/>
    <mergeCell ref="F15:H16"/>
    <mergeCell ref="I15:J15"/>
    <mergeCell ref="K15:K16"/>
    <mergeCell ref="A17:A18"/>
    <mergeCell ref="B17:C18"/>
    <mergeCell ref="D17:E18"/>
    <mergeCell ref="F17:G18"/>
    <mergeCell ref="I17:J17"/>
    <mergeCell ref="B19:E20"/>
    <mergeCell ref="F19:H20"/>
    <mergeCell ref="I19:J19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  <mergeCell ref="L19:L20"/>
  </mergeCells>
  <conditionalFormatting sqref="D9">
    <cfRule type="cellIs" dxfId="722" priority="24" operator="greaterThan">
      <formula>7</formula>
    </cfRule>
  </conditionalFormatting>
  <conditionalFormatting sqref="F9">
    <cfRule type="cellIs" dxfId="721" priority="23" operator="greaterThan">
      <formula>20</formula>
    </cfRule>
  </conditionalFormatting>
  <conditionalFormatting sqref="H9:J10">
    <cfRule type="cellIs" dxfId="720" priority="22" operator="lessThan">
      <formula>80</formula>
    </cfRule>
  </conditionalFormatting>
  <conditionalFormatting sqref="K9:L10">
    <cfRule type="cellIs" dxfId="719" priority="21" operator="greaterThan">
      <formula>0</formula>
    </cfRule>
  </conditionalFormatting>
  <conditionalFormatting sqref="B24:E24 B23 D23 B22:E22 B21:F21 B15 B19 D13 B13">
    <cfRule type="cellIs" dxfId="718" priority="20" operator="greaterThan">
      <formula>7</formula>
    </cfRule>
  </conditionalFormatting>
  <conditionalFormatting sqref="I15 I13">
    <cfRule type="cellIs" dxfId="717" priority="19" operator="greaterThan">
      <formula>20</formula>
    </cfRule>
  </conditionalFormatting>
  <conditionalFormatting sqref="K15 K13">
    <cfRule type="cellIs" dxfId="716" priority="18" stopIfTrue="1" operator="lessThan">
      <formula>80</formula>
    </cfRule>
  </conditionalFormatting>
  <conditionalFormatting sqref="L15 L13">
    <cfRule type="cellIs" dxfId="715" priority="17" operator="greaterThan">
      <formula>0</formula>
    </cfRule>
  </conditionalFormatting>
  <conditionalFormatting sqref="F15 F19 F13">
    <cfRule type="cellIs" dxfId="714" priority="16" stopIfTrue="1" operator="greaterThan">
      <formula>10</formula>
    </cfRule>
  </conditionalFormatting>
  <conditionalFormatting sqref="K19">
    <cfRule type="cellIs" dxfId="713" priority="15" stopIfTrue="1" operator="lessThan">
      <formula>80</formula>
    </cfRule>
  </conditionalFormatting>
  <conditionalFormatting sqref="I14:J14">
    <cfRule type="cellIs" dxfId="712" priority="14" operator="greaterThan">
      <formula>20</formula>
    </cfRule>
  </conditionalFormatting>
  <conditionalFormatting sqref="J16">
    <cfRule type="cellIs" dxfId="711" priority="13" operator="greaterThan">
      <formula>20</formula>
    </cfRule>
  </conditionalFormatting>
  <conditionalFormatting sqref="I16:I17">
    <cfRule type="cellIs" dxfId="710" priority="12" operator="greaterThan">
      <formula>20</formula>
    </cfRule>
  </conditionalFormatting>
  <conditionalFormatting sqref="I18">
    <cfRule type="cellIs" dxfId="709" priority="11" operator="greaterThan">
      <formula>20</formula>
    </cfRule>
  </conditionalFormatting>
  <conditionalFormatting sqref="I19">
    <cfRule type="cellIs" dxfId="708" priority="10" operator="greaterThan">
      <formula>20</formula>
    </cfRule>
  </conditionalFormatting>
  <conditionalFormatting sqref="I20">
    <cfRule type="cellIs" dxfId="707" priority="9" operator="greaterThan">
      <formula>20</formula>
    </cfRule>
  </conditionalFormatting>
  <conditionalFormatting sqref="J20">
    <cfRule type="cellIs" dxfId="706" priority="8" operator="greaterThan">
      <formula>20</formula>
    </cfRule>
  </conditionalFormatting>
  <conditionalFormatting sqref="D15">
    <cfRule type="cellIs" dxfId="705" priority="7" operator="greaterThan">
      <formula>7</formula>
    </cfRule>
  </conditionalFormatting>
  <conditionalFormatting sqref="D17">
    <cfRule type="cellIs" dxfId="704" priority="6" operator="greaterThan">
      <formula>7</formula>
    </cfRule>
  </conditionalFormatting>
  <conditionalFormatting sqref="B17">
    <cfRule type="cellIs" dxfId="703" priority="5" operator="greaterThan">
      <formula>7</formula>
    </cfRule>
  </conditionalFormatting>
  <conditionalFormatting sqref="K17">
    <cfRule type="cellIs" dxfId="702" priority="4" stopIfTrue="1" operator="lessThan">
      <formula>80</formula>
    </cfRule>
  </conditionalFormatting>
  <conditionalFormatting sqref="L17">
    <cfRule type="cellIs" dxfId="701" priority="3" operator="greaterThan">
      <formula>0</formula>
    </cfRule>
  </conditionalFormatting>
  <conditionalFormatting sqref="L19">
    <cfRule type="cellIs" dxfId="700" priority="2" operator="greaterThan">
      <formula>0</formula>
    </cfRule>
  </conditionalFormatting>
  <conditionalFormatting sqref="F17">
    <cfRule type="cellIs" dxfId="699" priority="1" stopIfTrue="1" operator="greaterThan">
      <formula>10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topLeftCell="A4" zoomScale="60" zoomScaleNormal="100" zoomScalePageLayoutView="80" workbookViewId="0">
      <selection activeCell="L13" sqref="L13:L14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100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2"/>
    </row>
    <row r="2" spans="1:12" ht="40.5" customHeight="1" x14ac:dyDescent="0.2">
      <c r="A2" s="103" t="s">
        <v>26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5"/>
    </row>
    <row r="3" spans="1:12" ht="40.5" customHeight="1" x14ac:dyDescent="0.2">
      <c r="A3" s="106" t="s">
        <v>24</v>
      </c>
      <c r="B3" s="106"/>
      <c r="C3" s="106" t="s">
        <v>23</v>
      </c>
      <c r="D3" s="106"/>
      <c r="E3" s="106" t="s">
        <v>22</v>
      </c>
      <c r="F3" s="106"/>
      <c r="G3" s="106"/>
      <c r="H3" s="106" t="s">
        <v>21</v>
      </c>
      <c r="I3" s="106"/>
      <c r="J3" s="106"/>
      <c r="K3" s="106" t="s">
        <v>20</v>
      </c>
      <c r="L3" s="106"/>
    </row>
    <row r="4" spans="1:12" ht="40.5" customHeight="1" x14ac:dyDescent="0.2">
      <c r="A4" s="91">
        <v>48527531</v>
      </c>
      <c r="B4" s="91"/>
      <c r="C4" s="91"/>
      <c r="D4" s="91"/>
      <c r="E4" s="91" t="s">
        <v>29</v>
      </c>
      <c r="F4" s="91"/>
      <c r="G4" s="91"/>
      <c r="H4" s="91" t="s">
        <v>19</v>
      </c>
      <c r="I4" s="91"/>
      <c r="J4" s="91"/>
      <c r="K4" s="92" t="s">
        <v>18</v>
      </c>
      <c r="L4" s="92"/>
    </row>
    <row r="5" spans="1:12" ht="40.5" customHeight="1" thickBot="1" x14ac:dyDescent="0.25">
      <c r="A5" s="97" t="s">
        <v>17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67" t="s">
        <v>16</v>
      </c>
      <c r="B7" s="93" t="s">
        <v>15</v>
      </c>
      <c r="C7" s="94"/>
      <c r="D7" s="87" t="s">
        <v>14</v>
      </c>
      <c r="E7" s="87"/>
      <c r="F7" s="89" t="s">
        <v>13</v>
      </c>
      <c r="G7" s="90"/>
      <c r="H7" s="87" t="s">
        <v>12</v>
      </c>
      <c r="I7" s="87"/>
      <c r="J7" s="87"/>
      <c r="K7" s="69" t="s">
        <v>11</v>
      </c>
      <c r="L7" s="70"/>
    </row>
    <row r="8" spans="1:12" ht="24.95" customHeight="1" thickBot="1" x14ac:dyDescent="0.25">
      <c r="A8" s="68"/>
      <c r="B8" s="95"/>
      <c r="C8" s="96"/>
      <c r="D8" s="88"/>
      <c r="E8" s="88"/>
      <c r="F8" s="5" t="s">
        <v>10</v>
      </c>
      <c r="G8" s="5" t="s">
        <v>9</v>
      </c>
      <c r="H8" s="88"/>
      <c r="I8" s="88"/>
      <c r="J8" s="88"/>
      <c r="K8" s="71"/>
      <c r="L8" s="72"/>
    </row>
    <row r="9" spans="1:12" ht="24.95" customHeight="1" thickBot="1" x14ac:dyDescent="0.25">
      <c r="A9" s="73">
        <v>819.8</v>
      </c>
      <c r="B9" s="75">
        <v>31</v>
      </c>
      <c r="C9" s="76"/>
      <c r="D9" s="42">
        <f>AVERAGE(B13:E24)</f>
        <v>3.8008333333333333</v>
      </c>
      <c r="E9" s="44"/>
      <c r="F9" s="61">
        <f>AVERAGE(I13,I15,I17,I19)</f>
        <v>16.8</v>
      </c>
      <c r="G9" s="62"/>
      <c r="H9" s="79">
        <f>AVERAGE(K13,K15,K17,K19)</f>
        <v>83.2</v>
      </c>
      <c r="I9" s="80"/>
      <c r="J9" s="81"/>
      <c r="K9" s="79">
        <f>AVERAGE(L13,L15,L17,L19)</f>
        <v>0</v>
      </c>
      <c r="L9" s="81"/>
    </row>
    <row r="10" spans="1:12" ht="24.95" customHeight="1" thickBot="1" x14ac:dyDescent="0.25">
      <c r="A10" s="74"/>
      <c r="B10" s="77"/>
      <c r="C10" s="78"/>
      <c r="D10" s="48"/>
      <c r="E10" s="50"/>
      <c r="F10" s="3">
        <f>AVERAGE(I14,I16,I18,I20)</f>
        <v>11.9</v>
      </c>
      <c r="G10" s="3">
        <f>AVERAGE(J14,J16,J18,J20)</f>
        <v>4.9000000000000004</v>
      </c>
      <c r="H10" s="82"/>
      <c r="I10" s="83"/>
      <c r="J10" s="84"/>
      <c r="K10" s="82"/>
      <c r="L10" s="84"/>
    </row>
    <row r="11" spans="1:12" ht="24.95" customHeight="1" thickBot="1" x14ac:dyDescent="0.25">
      <c r="A11" s="67" t="s">
        <v>8</v>
      </c>
      <c r="B11" s="69" t="s">
        <v>7</v>
      </c>
      <c r="C11" s="70"/>
      <c r="D11" s="69" t="s">
        <v>6</v>
      </c>
      <c r="E11" s="70"/>
      <c r="F11" s="69" t="s">
        <v>5</v>
      </c>
      <c r="G11" s="87"/>
      <c r="H11" s="70"/>
      <c r="I11" s="89" t="s">
        <v>4</v>
      </c>
      <c r="J11" s="90"/>
      <c r="K11" s="85" t="s">
        <v>3</v>
      </c>
      <c r="L11" s="70" t="s">
        <v>2</v>
      </c>
    </row>
    <row r="12" spans="1:12" ht="24.95" customHeight="1" thickBot="1" x14ac:dyDescent="0.25">
      <c r="A12" s="68"/>
      <c r="B12" s="71"/>
      <c r="C12" s="72"/>
      <c r="D12" s="71"/>
      <c r="E12" s="72"/>
      <c r="F12" s="71"/>
      <c r="G12" s="88"/>
      <c r="H12" s="72"/>
      <c r="I12" s="5" t="s">
        <v>1</v>
      </c>
      <c r="J12" s="14" t="s">
        <v>0</v>
      </c>
      <c r="K12" s="86"/>
      <c r="L12" s="72"/>
    </row>
    <row r="13" spans="1:12" ht="24.95" customHeight="1" thickBot="1" x14ac:dyDescent="0.25">
      <c r="A13" s="53">
        <v>0.33333333333333331</v>
      </c>
      <c r="B13" s="42">
        <v>3.39</v>
      </c>
      <c r="C13" s="44"/>
      <c r="D13" s="42">
        <v>4.67</v>
      </c>
      <c r="E13" s="44"/>
      <c r="F13" s="63">
        <v>8.58</v>
      </c>
      <c r="G13" s="64"/>
      <c r="H13" s="107"/>
      <c r="I13" s="61">
        <v>16.8</v>
      </c>
      <c r="J13" s="62"/>
      <c r="K13" s="39">
        <v>83.2</v>
      </c>
      <c r="L13" s="39">
        <v>0</v>
      </c>
    </row>
    <row r="14" spans="1:12" ht="24.95" customHeight="1" thickBot="1" x14ac:dyDescent="0.25">
      <c r="A14" s="54"/>
      <c r="B14" s="48"/>
      <c r="C14" s="50"/>
      <c r="D14" s="48"/>
      <c r="E14" s="50"/>
      <c r="F14" s="65"/>
      <c r="G14" s="66"/>
      <c r="H14" s="108"/>
      <c r="I14" s="3">
        <v>11.9</v>
      </c>
      <c r="J14" s="15">
        <v>4.9000000000000004</v>
      </c>
      <c r="K14" s="40"/>
      <c r="L14" s="40"/>
    </row>
    <row r="15" spans="1:12" ht="24.95" customHeight="1" thickBot="1" x14ac:dyDescent="0.25">
      <c r="A15" s="53">
        <v>0.41666666666666669</v>
      </c>
      <c r="B15" s="42"/>
      <c r="C15" s="44"/>
      <c r="D15" s="42"/>
      <c r="E15" s="44"/>
      <c r="F15" s="63"/>
      <c r="G15" s="64"/>
      <c r="H15" s="107"/>
      <c r="I15" s="61"/>
      <c r="J15" s="62"/>
      <c r="K15" s="39"/>
      <c r="L15" s="39"/>
    </row>
    <row r="16" spans="1:12" ht="24.95" customHeight="1" thickBot="1" x14ac:dyDescent="0.25">
      <c r="A16" s="54"/>
      <c r="B16" s="48"/>
      <c r="C16" s="50"/>
      <c r="D16" s="48"/>
      <c r="E16" s="50"/>
      <c r="F16" s="65"/>
      <c r="G16" s="66"/>
      <c r="H16" s="108"/>
      <c r="I16" s="3"/>
      <c r="J16" s="15"/>
      <c r="K16" s="40"/>
      <c r="L16" s="40"/>
    </row>
    <row r="17" spans="1:12" ht="24.95" customHeight="1" thickBot="1" x14ac:dyDescent="0.25">
      <c r="A17" s="53">
        <v>0.5</v>
      </c>
      <c r="B17" s="42">
        <v>4.16</v>
      </c>
      <c r="C17" s="44"/>
      <c r="D17" s="42">
        <v>2.98</v>
      </c>
      <c r="E17" s="44"/>
      <c r="F17" s="63"/>
      <c r="G17" s="64"/>
      <c r="H17" s="12"/>
      <c r="I17" s="61"/>
      <c r="J17" s="62"/>
      <c r="K17" s="39"/>
      <c r="L17" s="39"/>
    </row>
    <row r="18" spans="1:12" ht="24.95" customHeight="1" thickBot="1" x14ac:dyDescent="0.25">
      <c r="A18" s="54"/>
      <c r="B18" s="48"/>
      <c r="C18" s="50"/>
      <c r="D18" s="48"/>
      <c r="E18" s="50"/>
      <c r="F18" s="65"/>
      <c r="G18" s="66"/>
      <c r="H18" s="10"/>
      <c r="I18" s="3"/>
      <c r="J18" s="13"/>
      <c r="K18" s="40"/>
      <c r="L18" s="40"/>
    </row>
    <row r="19" spans="1:12" ht="24.95" customHeight="1" thickBot="1" x14ac:dyDescent="0.25">
      <c r="A19" s="53">
        <v>0.58333333333333337</v>
      </c>
      <c r="B19" s="42"/>
      <c r="C19" s="43"/>
      <c r="D19" s="43"/>
      <c r="E19" s="44"/>
      <c r="F19" s="63"/>
      <c r="G19" s="64"/>
      <c r="H19" s="107"/>
      <c r="I19" s="61"/>
      <c r="J19" s="62"/>
      <c r="K19" s="39"/>
      <c r="L19" s="39"/>
    </row>
    <row r="20" spans="1:12" ht="24.95" customHeight="1" thickBot="1" x14ac:dyDescent="0.25">
      <c r="A20" s="54"/>
      <c r="B20" s="48"/>
      <c r="C20" s="49"/>
      <c r="D20" s="49"/>
      <c r="E20" s="50"/>
      <c r="F20" s="65"/>
      <c r="G20" s="66"/>
      <c r="H20" s="108"/>
      <c r="I20" s="3"/>
      <c r="J20" s="15"/>
      <c r="K20" s="40"/>
      <c r="L20" s="40"/>
    </row>
    <row r="21" spans="1:12" ht="50.1" customHeight="1" thickBot="1" x14ac:dyDescent="0.25">
      <c r="A21" s="1">
        <v>0.66666666666666663</v>
      </c>
      <c r="B21" s="41">
        <v>1.72</v>
      </c>
      <c r="C21" s="41"/>
      <c r="D21" s="41">
        <v>3.97</v>
      </c>
      <c r="E21" s="41"/>
      <c r="F21" s="42"/>
      <c r="G21" s="43"/>
      <c r="H21" s="43"/>
      <c r="I21" s="43"/>
      <c r="J21" s="43"/>
      <c r="K21" s="43"/>
      <c r="L21" s="44"/>
    </row>
    <row r="22" spans="1:12" ht="50.1" customHeight="1" thickBot="1" x14ac:dyDescent="0.25">
      <c r="A22" s="1">
        <v>0.83333333333333337</v>
      </c>
      <c r="B22" s="41">
        <v>4.5</v>
      </c>
      <c r="C22" s="41"/>
      <c r="D22" s="41">
        <v>6.54</v>
      </c>
      <c r="E22" s="41"/>
      <c r="F22" s="45"/>
      <c r="G22" s="46"/>
      <c r="H22" s="46"/>
      <c r="I22" s="46"/>
      <c r="J22" s="46"/>
      <c r="K22" s="46"/>
      <c r="L22" s="47"/>
    </row>
    <row r="23" spans="1:12" ht="50.1" customHeight="1" thickBot="1" x14ac:dyDescent="0.25">
      <c r="A23" s="1">
        <v>1</v>
      </c>
      <c r="B23" s="51">
        <v>5.01</v>
      </c>
      <c r="C23" s="52"/>
      <c r="D23" s="51">
        <v>5.33</v>
      </c>
      <c r="E23" s="52"/>
      <c r="F23" s="45"/>
      <c r="G23" s="46"/>
      <c r="H23" s="46"/>
      <c r="I23" s="46"/>
      <c r="J23" s="46"/>
      <c r="K23" s="46"/>
      <c r="L23" s="47"/>
    </row>
    <row r="24" spans="1:12" ht="50.1" customHeight="1" thickBot="1" x14ac:dyDescent="0.25">
      <c r="A24" s="1">
        <v>0.16666666666666666</v>
      </c>
      <c r="B24" s="41">
        <v>1.95</v>
      </c>
      <c r="C24" s="41"/>
      <c r="D24" s="41">
        <v>1.39</v>
      </c>
      <c r="E24" s="41"/>
      <c r="F24" s="48"/>
      <c r="G24" s="49"/>
      <c r="H24" s="49"/>
      <c r="I24" s="49"/>
      <c r="J24" s="49"/>
      <c r="K24" s="49"/>
      <c r="L24" s="50"/>
    </row>
  </sheetData>
  <mergeCells count="68"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17:K18"/>
    <mergeCell ref="L17:L18"/>
    <mergeCell ref="A15:A16"/>
    <mergeCell ref="B15:C16"/>
    <mergeCell ref="D15:E16"/>
    <mergeCell ref="F15:H16"/>
    <mergeCell ref="I15:J15"/>
    <mergeCell ref="K15:K16"/>
    <mergeCell ref="A17:A18"/>
    <mergeCell ref="B17:C18"/>
    <mergeCell ref="D17:E18"/>
    <mergeCell ref="F17:G18"/>
    <mergeCell ref="I17:J17"/>
    <mergeCell ref="B19:E20"/>
    <mergeCell ref="F19:H20"/>
    <mergeCell ref="I19:J19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  <mergeCell ref="L19:L20"/>
  </mergeCells>
  <conditionalFormatting sqref="D9">
    <cfRule type="cellIs" dxfId="698" priority="24" operator="greaterThan">
      <formula>7</formula>
    </cfRule>
  </conditionalFormatting>
  <conditionalFormatting sqref="F9">
    <cfRule type="cellIs" dxfId="697" priority="23" operator="greaterThan">
      <formula>20</formula>
    </cfRule>
  </conditionalFormatting>
  <conditionalFormatting sqref="H9:J10">
    <cfRule type="cellIs" dxfId="696" priority="22" operator="lessThan">
      <formula>80</formula>
    </cfRule>
  </conditionalFormatting>
  <conditionalFormatting sqref="K9:L10">
    <cfRule type="cellIs" dxfId="695" priority="21" operator="greaterThan">
      <formula>0</formula>
    </cfRule>
  </conditionalFormatting>
  <conditionalFormatting sqref="B24:E24 B23 D23 B22:E22 B21:F21 B15 B19 D13 B13">
    <cfRule type="cellIs" dxfId="694" priority="20" operator="greaterThan">
      <formula>7</formula>
    </cfRule>
  </conditionalFormatting>
  <conditionalFormatting sqref="I15 I13">
    <cfRule type="cellIs" dxfId="693" priority="19" operator="greaterThan">
      <formula>20</formula>
    </cfRule>
  </conditionalFormatting>
  <conditionalFormatting sqref="K15 K13">
    <cfRule type="cellIs" dxfId="692" priority="18" stopIfTrue="1" operator="lessThan">
      <formula>80</formula>
    </cfRule>
  </conditionalFormatting>
  <conditionalFormatting sqref="L15 L13">
    <cfRule type="cellIs" dxfId="691" priority="17" operator="greaterThan">
      <formula>0</formula>
    </cfRule>
  </conditionalFormatting>
  <conditionalFormatting sqref="F15 F19 F13">
    <cfRule type="cellIs" dxfId="690" priority="16" stopIfTrue="1" operator="greaterThan">
      <formula>10</formula>
    </cfRule>
  </conditionalFormatting>
  <conditionalFormatting sqref="K19">
    <cfRule type="cellIs" dxfId="689" priority="15" stopIfTrue="1" operator="lessThan">
      <formula>80</formula>
    </cfRule>
  </conditionalFormatting>
  <conditionalFormatting sqref="I14:J14">
    <cfRule type="cellIs" dxfId="688" priority="14" operator="greaterThan">
      <formula>20</formula>
    </cfRule>
  </conditionalFormatting>
  <conditionalFormatting sqref="J16">
    <cfRule type="cellIs" dxfId="687" priority="13" operator="greaterThan">
      <formula>20</formula>
    </cfRule>
  </conditionalFormatting>
  <conditionalFormatting sqref="I16:I17">
    <cfRule type="cellIs" dxfId="686" priority="12" operator="greaterThan">
      <formula>20</formula>
    </cfRule>
  </conditionalFormatting>
  <conditionalFormatting sqref="I18">
    <cfRule type="cellIs" dxfId="685" priority="11" operator="greaterThan">
      <formula>20</formula>
    </cfRule>
  </conditionalFormatting>
  <conditionalFormatting sqref="I19">
    <cfRule type="cellIs" dxfId="684" priority="10" operator="greaterThan">
      <formula>20</formula>
    </cfRule>
  </conditionalFormatting>
  <conditionalFormatting sqref="I20">
    <cfRule type="cellIs" dxfId="683" priority="9" operator="greaterThan">
      <formula>20</formula>
    </cfRule>
  </conditionalFormatting>
  <conditionalFormatting sqref="J20">
    <cfRule type="cellIs" dxfId="682" priority="8" operator="greaterThan">
      <formula>20</formula>
    </cfRule>
  </conditionalFormatting>
  <conditionalFormatting sqref="D15">
    <cfRule type="cellIs" dxfId="681" priority="7" operator="greaterThan">
      <formula>7</formula>
    </cfRule>
  </conditionalFormatting>
  <conditionalFormatting sqref="D17">
    <cfRule type="cellIs" dxfId="680" priority="6" operator="greaterThan">
      <formula>7</formula>
    </cfRule>
  </conditionalFormatting>
  <conditionalFormatting sqref="B17">
    <cfRule type="cellIs" dxfId="679" priority="5" operator="greaterThan">
      <formula>7</formula>
    </cfRule>
  </conditionalFormatting>
  <conditionalFormatting sqref="K17">
    <cfRule type="cellIs" dxfId="678" priority="4" stopIfTrue="1" operator="lessThan">
      <formula>80</formula>
    </cfRule>
  </conditionalFormatting>
  <conditionalFormatting sqref="L17">
    <cfRule type="cellIs" dxfId="677" priority="3" operator="greaterThan">
      <formula>0</formula>
    </cfRule>
  </conditionalFormatting>
  <conditionalFormatting sqref="L19">
    <cfRule type="cellIs" dxfId="676" priority="2" operator="greaterThan">
      <formula>0</formula>
    </cfRule>
  </conditionalFormatting>
  <conditionalFormatting sqref="F17">
    <cfRule type="cellIs" dxfId="675" priority="1" stopIfTrue="1" operator="greaterThan">
      <formula>10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topLeftCell="A4" zoomScale="62" zoomScaleNormal="100" zoomScaleSheetLayoutView="62" zoomScalePageLayoutView="80" workbookViewId="0">
      <selection activeCell="L15" sqref="L15:L16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100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2"/>
    </row>
    <row r="2" spans="1:12" ht="40.5" customHeight="1" x14ac:dyDescent="0.2">
      <c r="A2" s="103" t="s">
        <v>25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5"/>
    </row>
    <row r="3" spans="1:12" ht="40.5" customHeight="1" x14ac:dyDescent="0.2">
      <c r="A3" s="106" t="s">
        <v>24</v>
      </c>
      <c r="B3" s="106"/>
      <c r="C3" s="106" t="s">
        <v>23</v>
      </c>
      <c r="D3" s="106"/>
      <c r="E3" s="106" t="s">
        <v>22</v>
      </c>
      <c r="F3" s="106"/>
      <c r="G3" s="106"/>
      <c r="H3" s="106" t="s">
        <v>21</v>
      </c>
      <c r="I3" s="106"/>
      <c r="J3" s="106"/>
      <c r="K3" s="106" t="s">
        <v>20</v>
      </c>
      <c r="L3" s="106"/>
    </row>
    <row r="4" spans="1:12" ht="40.5" customHeight="1" x14ac:dyDescent="0.2">
      <c r="A4" s="91">
        <v>48527531</v>
      </c>
      <c r="B4" s="91"/>
      <c r="C4" s="91"/>
      <c r="D4" s="91"/>
      <c r="E4" s="91" t="s">
        <v>30</v>
      </c>
      <c r="F4" s="91"/>
      <c r="G4" s="91"/>
      <c r="H4" s="91" t="s">
        <v>19</v>
      </c>
      <c r="I4" s="91"/>
      <c r="J4" s="91"/>
      <c r="K4" s="92" t="s">
        <v>18</v>
      </c>
      <c r="L4" s="92"/>
    </row>
    <row r="5" spans="1:12" ht="40.5" customHeight="1" thickBot="1" x14ac:dyDescent="0.25">
      <c r="A5" s="97" t="s">
        <v>17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67" t="s">
        <v>16</v>
      </c>
      <c r="B7" s="93" t="s">
        <v>15</v>
      </c>
      <c r="C7" s="94"/>
      <c r="D7" s="87" t="s">
        <v>14</v>
      </c>
      <c r="E7" s="87"/>
      <c r="F7" s="89" t="s">
        <v>13</v>
      </c>
      <c r="G7" s="90"/>
      <c r="H7" s="87" t="s">
        <v>12</v>
      </c>
      <c r="I7" s="87"/>
      <c r="J7" s="87"/>
      <c r="K7" s="69" t="s">
        <v>11</v>
      </c>
      <c r="L7" s="70"/>
    </row>
    <row r="8" spans="1:12" ht="24.95" customHeight="1" thickBot="1" x14ac:dyDescent="0.25">
      <c r="A8" s="68"/>
      <c r="B8" s="95"/>
      <c r="C8" s="96"/>
      <c r="D8" s="88"/>
      <c r="E8" s="88"/>
      <c r="F8" s="5" t="s">
        <v>10</v>
      </c>
      <c r="G8" s="5" t="s">
        <v>9</v>
      </c>
      <c r="H8" s="88"/>
      <c r="I8" s="88"/>
      <c r="J8" s="88"/>
      <c r="K8" s="71"/>
      <c r="L8" s="72"/>
    </row>
    <row r="9" spans="1:12" ht="24.95" customHeight="1" thickBot="1" x14ac:dyDescent="0.25">
      <c r="A9" s="73">
        <v>477.7</v>
      </c>
      <c r="B9" s="75">
        <v>18</v>
      </c>
      <c r="C9" s="76"/>
      <c r="D9" s="42">
        <f>AVERAGE(B13:E24)</f>
        <v>2.5241666666666664</v>
      </c>
      <c r="E9" s="44"/>
      <c r="F9" s="61">
        <f>AVERAGE(I13,I15,I17,I19)</f>
        <v>13.4</v>
      </c>
      <c r="G9" s="62"/>
      <c r="H9" s="79">
        <f>AVERAGE(K13,K15,K17,K19)</f>
        <v>86.6</v>
      </c>
      <c r="I9" s="80"/>
      <c r="J9" s="81"/>
      <c r="K9" s="79">
        <f>AVERAGE(L13,L15,L17,L19)</f>
        <v>0</v>
      </c>
      <c r="L9" s="81"/>
    </row>
    <row r="10" spans="1:12" ht="24.95" customHeight="1" thickBot="1" x14ac:dyDescent="0.25">
      <c r="A10" s="74"/>
      <c r="B10" s="77"/>
      <c r="C10" s="78"/>
      <c r="D10" s="48"/>
      <c r="E10" s="50"/>
      <c r="F10" s="3">
        <f>AVERAGE(I14,I16,I18,I20)</f>
        <v>8.1999999999999993</v>
      </c>
      <c r="G10" s="3">
        <f>AVERAGE(J14,J16,J18,J20)</f>
        <v>5.2</v>
      </c>
      <c r="H10" s="82"/>
      <c r="I10" s="83"/>
      <c r="J10" s="84"/>
      <c r="K10" s="82"/>
      <c r="L10" s="84"/>
    </row>
    <row r="11" spans="1:12" ht="24.95" customHeight="1" thickBot="1" x14ac:dyDescent="0.25">
      <c r="A11" s="67" t="s">
        <v>8</v>
      </c>
      <c r="B11" s="69" t="s">
        <v>7</v>
      </c>
      <c r="C11" s="70"/>
      <c r="D11" s="69" t="s">
        <v>6</v>
      </c>
      <c r="E11" s="70"/>
      <c r="F11" s="69" t="s">
        <v>5</v>
      </c>
      <c r="G11" s="87"/>
      <c r="H11" s="70"/>
      <c r="I11" s="89" t="s">
        <v>4</v>
      </c>
      <c r="J11" s="90"/>
      <c r="K11" s="85" t="s">
        <v>3</v>
      </c>
      <c r="L11" s="70" t="s">
        <v>2</v>
      </c>
    </row>
    <row r="12" spans="1:12" ht="24.95" customHeight="1" thickBot="1" x14ac:dyDescent="0.25">
      <c r="A12" s="68"/>
      <c r="B12" s="71"/>
      <c r="C12" s="72"/>
      <c r="D12" s="71"/>
      <c r="E12" s="72"/>
      <c r="F12" s="71"/>
      <c r="G12" s="88"/>
      <c r="H12" s="72"/>
      <c r="I12" s="5" t="s">
        <v>1</v>
      </c>
      <c r="J12" s="14" t="s">
        <v>0</v>
      </c>
      <c r="K12" s="86"/>
      <c r="L12" s="72"/>
    </row>
    <row r="13" spans="1:12" ht="24.95" customHeight="1" thickBot="1" x14ac:dyDescent="0.25">
      <c r="A13" s="53">
        <v>0.33333333333333331</v>
      </c>
      <c r="B13" s="42">
        <v>3.11</v>
      </c>
      <c r="C13" s="44"/>
      <c r="D13" s="42">
        <v>1.68</v>
      </c>
      <c r="E13" s="44"/>
      <c r="F13" s="63">
        <v>3.66</v>
      </c>
      <c r="G13" s="64"/>
      <c r="H13" s="107"/>
      <c r="I13" s="61">
        <v>13.4</v>
      </c>
      <c r="J13" s="62"/>
      <c r="K13" s="39">
        <v>86.6</v>
      </c>
      <c r="L13" s="39">
        <v>0</v>
      </c>
    </row>
    <row r="14" spans="1:12" ht="24.95" customHeight="1" thickBot="1" x14ac:dyDescent="0.25">
      <c r="A14" s="54"/>
      <c r="B14" s="48"/>
      <c r="C14" s="50"/>
      <c r="D14" s="48"/>
      <c r="E14" s="50"/>
      <c r="F14" s="65"/>
      <c r="G14" s="66"/>
      <c r="H14" s="108"/>
      <c r="I14" s="3">
        <v>8.1999999999999993</v>
      </c>
      <c r="J14" s="15">
        <v>5.2</v>
      </c>
      <c r="K14" s="40"/>
      <c r="L14" s="40"/>
    </row>
    <row r="15" spans="1:12" ht="24.95" customHeight="1" thickBot="1" x14ac:dyDescent="0.25">
      <c r="A15" s="53">
        <v>0.41666666666666669</v>
      </c>
      <c r="B15" s="42"/>
      <c r="C15" s="44"/>
      <c r="D15" s="42"/>
      <c r="E15" s="44"/>
      <c r="F15" s="63"/>
      <c r="G15" s="64"/>
      <c r="H15" s="107"/>
      <c r="I15" s="61"/>
      <c r="J15" s="62"/>
      <c r="K15" s="39"/>
      <c r="L15" s="39"/>
    </row>
    <row r="16" spans="1:12" ht="24.95" customHeight="1" thickBot="1" x14ac:dyDescent="0.25">
      <c r="A16" s="54"/>
      <c r="B16" s="48"/>
      <c r="C16" s="50"/>
      <c r="D16" s="48"/>
      <c r="E16" s="50"/>
      <c r="F16" s="65"/>
      <c r="G16" s="66"/>
      <c r="H16" s="108"/>
      <c r="I16" s="3"/>
      <c r="J16" s="15"/>
      <c r="K16" s="40"/>
      <c r="L16" s="40"/>
    </row>
    <row r="17" spans="1:12" ht="24.95" customHeight="1" thickBot="1" x14ac:dyDescent="0.25">
      <c r="A17" s="53">
        <v>0.5</v>
      </c>
      <c r="B17" s="42">
        <v>1.96</v>
      </c>
      <c r="C17" s="44"/>
      <c r="D17" s="42">
        <v>0.92</v>
      </c>
      <c r="E17" s="44"/>
      <c r="F17" s="63"/>
      <c r="G17" s="64"/>
      <c r="H17" s="12"/>
      <c r="I17" s="61"/>
      <c r="J17" s="62"/>
      <c r="K17" s="39"/>
      <c r="L17" s="39"/>
    </row>
    <row r="18" spans="1:12" ht="24.95" customHeight="1" thickBot="1" x14ac:dyDescent="0.25">
      <c r="A18" s="54"/>
      <c r="B18" s="48"/>
      <c r="C18" s="50"/>
      <c r="D18" s="48"/>
      <c r="E18" s="50"/>
      <c r="F18" s="65"/>
      <c r="G18" s="66"/>
      <c r="H18" s="10"/>
      <c r="I18" s="3"/>
      <c r="J18" s="13"/>
      <c r="K18" s="40"/>
      <c r="L18" s="40"/>
    </row>
    <row r="19" spans="1:12" ht="24.95" customHeight="1" thickBot="1" x14ac:dyDescent="0.25">
      <c r="A19" s="53">
        <v>0.58333333333333337</v>
      </c>
      <c r="B19" s="42"/>
      <c r="C19" s="43"/>
      <c r="D19" s="43"/>
      <c r="E19" s="44"/>
      <c r="F19" s="63"/>
      <c r="G19" s="64"/>
      <c r="H19" s="107"/>
      <c r="I19" s="61"/>
      <c r="J19" s="62"/>
      <c r="K19" s="39"/>
      <c r="L19" s="39"/>
    </row>
    <row r="20" spans="1:12" ht="24.95" customHeight="1" thickBot="1" x14ac:dyDescent="0.25">
      <c r="A20" s="54"/>
      <c r="B20" s="48"/>
      <c r="C20" s="49"/>
      <c r="D20" s="49"/>
      <c r="E20" s="50"/>
      <c r="F20" s="65"/>
      <c r="G20" s="66"/>
      <c r="H20" s="108"/>
      <c r="I20" s="3"/>
      <c r="J20" s="15"/>
      <c r="K20" s="40"/>
      <c r="L20" s="40"/>
    </row>
    <row r="21" spans="1:12" ht="50.1" customHeight="1" thickBot="1" x14ac:dyDescent="0.25">
      <c r="A21" s="1">
        <v>0.66666666666666663</v>
      </c>
      <c r="B21" s="41">
        <v>4.8899999999999997</v>
      </c>
      <c r="C21" s="41"/>
      <c r="D21" s="41">
        <v>3.64</v>
      </c>
      <c r="E21" s="41"/>
      <c r="F21" s="42"/>
      <c r="G21" s="43"/>
      <c r="H21" s="43"/>
      <c r="I21" s="43"/>
      <c r="J21" s="43"/>
      <c r="K21" s="43"/>
      <c r="L21" s="44"/>
    </row>
    <row r="22" spans="1:12" ht="50.1" customHeight="1" thickBot="1" x14ac:dyDescent="0.25">
      <c r="A22" s="1">
        <v>0.83333333333333337</v>
      </c>
      <c r="B22" s="41">
        <v>4.3</v>
      </c>
      <c r="C22" s="41"/>
      <c r="D22" s="41">
        <v>0.66</v>
      </c>
      <c r="E22" s="41"/>
      <c r="F22" s="45"/>
      <c r="G22" s="46"/>
      <c r="H22" s="46"/>
      <c r="I22" s="46"/>
      <c r="J22" s="46"/>
      <c r="K22" s="46"/>
      <c r="L22" s="47"/>
    </row>
    <row r="23" spans="1:12" ht="50.1" customHeight="1" thickBot="1" x14ac:dyDescent="0.25">
      <c r="A23" s="1">
        <v>1</v>
      </c>
      <c r="B23" s="51">
        <v>5.01</v>
      </c>
      <c r="C23" s="52"/>
      <c r="D23" s="51">
        <v>0.97</v>
      </c>
      <c r="E23" s="52"/>
      <c r="F23" s="45"/>
      <c r="G23" s="46"/>
      <c r="H23" s="46"/>
      <c r="I23" s="46"/>
      <c r="J23" s="46"/>
      <c r="K23" s="46"/>
      <c r="L23" s="47"/>
    </row>
    <row r="24" spans="1:12" ht="50.1" customHeight="1" thickBot="1" x14ac:dyDescent="0.25">
      <c r="A24" s="1">
        <v>0.16666666666666666</v>
      </c>
      <c r="B24" s="41">
        <v>1.86</v>
      </c>
      <c r="C24" s="41"/>
      <c r="D24" s="41">
        <v>1.29</v>
      </c>
      <c r="E24" s="41"/>
      <c r="F24" s="48"/>
      <c r="G24" s="49"/>
      <c r="H24" s="49"/>
      <c r="I24" s="49"/>
      <c r="J24" s="49"/>
      <c r="K24" s="49"/>
      <c r="L24" s="50"/>
    </row>
  </sheetData>
  <mergeCells count="68"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17:K18"/>
    <mergeCell ref="L17:L18"/>
    <mergeCell ref="A15:A16"/>
    <mergeCell ref="B15:C16"/>
    <mergeCell ref="D15:E16"/>
    <mergeCell ref="F15:H16"/>
    <mergeCell ref="I15:J15"/>
    <mergeCell ref="K15:K16"/>
    <mergeCell ref="A17:A18"/>
    <mergeCell ref="B17:C18"/>
    <mergeCell ref="D17:E18"/>
    <mergeCell ref="F17:G18"/>
    <mergeCell ref="I17:J17"/>
    <mergeCell ref="B19:E20"/>
    <mergeCell ref="F19:H20"/>
    <mergeCell ref="I19:J19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  <mergeCell ref="L19:L20"/>
  </mergeCells>
  <conditionalFormatting sqref="D9">
    <cfRule type="cellIs" dxfId="674" priority="24" operator="greaterThan">
      <formula>7</formula>
    </cfRule>
  </conditionalFormatting>
  <conditionalFormatting sqref="F9">
    <cfRule type="cellIs" dxfId="673" priority="23" operator="greaterThan">
      <formula>20</formula>
    </cfRule>
  </conditionalFormatting>
  <conditionalFormatting sqref="H9:J10">
    <cfRule type="cellIs" dxfId="672" priority="22" operator="lessThan">
      <formula>80</formula>
    </cfRule>
  </conditionalFormatting>
  <conditionalFormatting sqref="K9:L10">
    <cfRule type="cellIs" dxfId="671" priority="21" operator="greaterThan">
      <formula>0</formula>
    </cfRule>
  </conditionalFormatting>
  <conditionalFormatting sqref="B24:E24 B23 D23 B22:E22 B21:F21 B15 B19 D13 B13">
    <cfRule type="cellIs" dxfId="670" priority="20" operator="greaterThan">
      <formula>7</formula>
    </cfRule>
  </conditionalFormatting>
  <conditionalFormatting sqref="I15 I13">
    <cfRule type="cellIs" dxfId="669" priority="19" operator="greaterThan">
      <formula>20</formula>
    </cfRule>
  </conditionalFormatting>
  <conditionalFormatting sqref="K15 K13">
    <cfRule type="cellIs" dxfId="668" priority="18" stopIfTrue="1" operator="lessThan">
      <formula>80</formula>
    </cfRule>
  </conditionalFormatting>
  <conditionalFormatting sqref="L15 L13">
    <cfRule type="cellIs" dxfId="667" priority="17" operator="greaterThan">
      <formula>0</formula>
    </cfRule>
  </conditionalFormatting>
  <conditionalFormatting sqref="F15 F19 F13">
    <cfRule type="cellIs" dxfId="666" priority="16" stopIfTrue="1" operator="greaterThan">
      <formula>10</formula>
    </cfRule>
  </conditionalFormatting>
  <conditionalFormatting sqref="K19">
    <cfRule type="cellIs" dxfId="665" priority="15" stopIfTrue="1" operator="lessThan">
      <formula>80</formula>
    </cfRule>
  </conditionalFormatting>
  <conditionalFormatting sqref="I14:J14">
    <cfRule type="cellIs" dxfId="664" priority="14" operator="greaterThan">
      <formula>20</formula>
    </cfRule>
  </conditionalFormatting>
  <conditionalFormatting sqref="J16">
    <cfRule type="cellIs" dxfId="663" priority="13" operator="greaterThan">
      <formula>20</formula>
    </cfRule>
  </conditionalFormatting>
  <conditionalFormatting sqref="I16:I17">
    <cfRule type="cellIs" dxfId="662" priority="12" operator="greaterThan">
      <formula>20</formula>
    </cfRule>
  </conditionalFormatting>
  <conditionalFormatting sqref="I18">
    <cfRule type="cellIs" dxfId="661" priority="11" operator="greaterThan">
      <formula>20</formula>
    </cfRule>
  </conditionalFormatting>
  <conditionalFormatting sqref="I19">
    <cfRule type="cellIs" dxfId="660" priority="10" operator="greaterThan">
      <formula>20</formula>
    </cfRule>
  </conditionalFormatting>
  <conditionalFormatting sqref="I20">
    <cfRule type="cellIs" dxfId="659" priority="9" operator="greaterThan">
      <formula>20</formula>
    </cfRule>
  </conditionalFormatting>
  <conditionalFormatting sqref="J20">
    <cfRule type="cellIs" dxfId="658" priority="8" operator="greaterThan">
      <formula>20</formula>
    </cfRule>
  </conditionalFormatting>
  <conditionalFormatting sqref="D15">
    <cfRule type="cellIs" dxfId="657" priority="7" operator="greaterThan">
      <formula>7</formula>
    </cfRule>
  </conditionalFormatting>
  <conditionalFormatting sqref="D17">
    <cfRule type="cellIs" dxfId="656" priority="6" operator="greaterThan">
      <formula>7</formula>
    </cfRule>
  </conditionalFormatting>
  <conditionalFormatting sqref="B17">
    <cfRule type="cellIs" dxfId="655" priority="5" operator="greaterThan">
      <formula>7</formula>
    </cfRule>
  </conditionalFormatting>
  <conditionalFormatting sqref="K17">
    <cfRule type="cellIs" dxfId="654" priority="4" stopIfTrue="1" operator="lessThan">
      <formula>80</formula>
    </cfRule>
  </conditionalFormatting>
  <conditionalFormatting sqref="L17">
    <cfRule type="cellIs" dxfId="653" priority="3" operator="greaterThan">
      <formula>0</formula>
    </cfRule>
  </conditionalFormatting>
  <conditionalFormatting sqref="L19">
    <cfRule type="cellIs" dxfId="652" priority="2" operator="greaterThan">
      <formula>0</formula>
    </cfRule>
  </conditionalFormatting>
  <conditionalFormatting sqref="F17">
    <cfRule type="cellIs" dxfId="651" priority="1" stopIfTrue="1" operator="greaterThan">
      <formula>10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topLeftCell="A6" zoomScale="80" zoomScaleNormal="100" zoomScaleSheetLayoutView="80" zoomScalePageLayoutView="80" workbookViewId="0">
      <selection activeCell="G10" sqref="G10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100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2"/>
    </row>
    <row r="2" spans="1:12" ht="40.5" customHeight="1" x14ac:dyDescent="0.2">
      <c r="A2" s="103" t="s">
        <v>25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5"/>
    </row>
    <row r="3" spans="1:12" ht="40.5" customHeight="1" x14ac:dyDescent="0.2">
      <c r="A3" s="106" t="s">
        <v>24</v>
      </c>
      <c r="B3" s="106"/>
      <c r="C3" s="106" t="s">
        <v>23</v>
      </c>
      <c r="D3" s="106"/>
      <c r="E3" s="106" t="s">
        <v>22</v>
      </c>
      <c r="F3" s="106"/>
      <c r="G3" s="106"/>
      <c r="H3" s="106" t="s">
        <v>21</v>
      </c>
      <c r="I3" s="106"/>
      <c r="J3" s="106"/>
      <c r="K3" s="106" t="s">
        <v>20</v>
      </c>
      <c r="L3" s="106"/>
    </row>
    <row r="4" spans="1:12" ht="40.5" customHeight="1" x14ac:dyDescent="0.2">
      <c r="A4" s="91">
        <v>48527531</v>
      </c>
      <c r="B4" s="91"/>
      <c r="C4" s="91"/>
      <c r="D4" s="91"/>
      <c r="E4" s="91" t="s">
        <v>31</v>
      </c>
      <c r="F4" s="91"/>
      <c r="G4" s="91"/>
      <c r="H4" s="91" t="s">
        <v>19</v>
      </c>
      <c r="I4" s="91"/>
      <c r="J4" s="91"/>
      <c r="K4" s="92" t="s">
        <v>18</v>
      </c>
      <c r="L4" s="92"/>
    </row>
    <row r="5" spans="1:12" ht="40.5" customHeight="1" thickBot="1" x14ac:dyDescent="0.25">
      <c r="A5" s="97" t="s">
        <v>17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67" t="s">
        <v>16</v>
      </c>
      <c r="B7" s="93" t="s">
        <v>15</v>
      </c>
      <c r="C7" s="94"/>
      <c r="D7" s="87" t="s">
        <v>14</v>
      </c>
      <c r="E7" s="87"/>
      <c r="F7" s="89" t="s">
        <v>13</v>
      </c>
      <c r="G7" s="90"/>
      <c r="H7" s="87" t="s">
        <v>12</v>
      </c>
      <c r="I7" s="87"/>
      <c r="J7" s="87"/>
      <c r="K7" s="69" t="s">
        <v>11</v>
      </c>
      <c r="L7" s="70"/>
    </row>
    <row r="8" spans="1:12" ht="24.95" customHeight="1" thickBot="1" x14ac:dyDescent="0.25">
      <c r="A8" s="68"/>
      <c r="B8" s="95"/>
      <c r="C8" s="96"/>
      <c r="D8" s="88"/>
      <c r="E8" s="88"/>
      <c r="F8" s="5" t="s">
        <v>10</v>
      </c>
      <c r="G8" s="5" t="s">
        <v>9</v>
      </c>
      <c r="H8" s="88"/>
      <c r="I8" s="88"/>
      <c r="J8" s="88"/>
      <c r="K8" s="71"/>
      <c r="L8" s="72"/>
    </row>
    <row r="9" spans="1:12" ht="24.95" customHeight="1" thickBot="1" x14ac:dyDescent="0.25">
      <c r="A9" s="73">
        <v>581.6</v>
      </c>
      <c r="B9" s="75">
        <v>22</v>
      </c>
      <c r="C9" s="76"/>
      <c r="D9" s="42">
        <f>AVERAGE(B13:E24)</f>
        <v>2.7208333333333332</v>
      </c>
      <c r="E9" s="44"/>
      <c r="F9" s="61">
        <f>AVERAGE(I13,I15,I17,I19)</f>
        <v>22.866666666666664</v>
      </c>
      <c r="G9" s="62"/>
      <c r="H9" s="79">
        <f>AVERAGE(K13,K15,K17,K19)</f>
        <v>77.133333333333326</v>
      </c>
      <c r="I9" s="80"/>
      <c r="J9" s="81"/>
      <c r="K9" s="79">
        <f>AVERAGE(L13,L15,L17,L19)</f>
        <v>0</v>
      </c>
      <c r="L9" s="81"/>
    </row>
    <row r="10" spans="1:12" ht="24.95" customHeight="1" thickBot="1" x14ac:dyDescent="0.25">
      <c r="A10" s="74"/>
      <c r="B10" s="77"/>
      <c r="C10" s="78"/>
      <c r="D10" s="48"/>
      <c r="E10" s="50"/>
      <c r="F10" s="3">
        <f>AVERAGE(I14,I16,I18,I20)</f>
        <v>15.433333333333332</v>
      </c>
      <c r="G10" s="3">
        <f>AVERAGE(J14,J16,J18,J20)</f>
        <v>7.5333333333333341</v>
      </c>
      <c r="H10" s="82"/>
      <c r="I10" s="83"/>
      <c r="J10" s="84"/>
      <c r="K10" s="82"/>
      <c r="L10" s="84"/>
    </row>
    <row r="11" spans="1:12" ht="24.95" customHeight="1" thickBot="1" x14ac:dyDescent="0.25">
      <c r="A11" s="67" t="s">
        <v>8</v>
      </c>
      <c r="B11" s="69" t="s">
        <v>7</v>
      </c>
      <c r="C11" s="70"/>
      <c r="D11" s="69" t="s">
        <v>6</v>
      </c>
      <c r="E11" s="70"/>
      <c r="F11" s="69" t="s">
        <v>5</v>
      </c>
      <c r="G11" s="87"/>
      <c r="H11" s="70"/>
      <c r="I11" s="89" t="s">
        <v>4</v>
      </c>
      <c r="J11" s="90"/>
      <c r="K11" s="85" t="s">
        <v>3</v>
      </c>
      <c r="L11" s="70" t="s">
        <v>2</v>
      </c>
    </row>
    <row r="12" spans="1:12" ht="24.95" customHeight="1" thickBot="1" x14ac:dyDescent="0.25">
      <c r="A12" s="68"/>
      <c r="B12" s="71"/>
      <c r="C12" s="72"/>
      <c r="D12" s="71"/>
      <c r="E12" s="72"/>
      <c r="F12" s="71"/>
      <c r="G12" s="88"/>
      <c r="H12" s="72"/>
      <c r="I12" s="5" t="s">
        <v>1</v>
      </c>
      <c r="J12" s="14" t="s">
        <v>0</v>
      </c>
      <c r="K12" s="86"/>
      <c r="L12" s="72"/>
    </row>
    <row r="13" spans="1:12" ht="24.95" customHeight="1" thickBot="1" x14ac:dyDescent="0.25">
      <c r="A13" s="53">
        <v>0.33333333333333331</v>
      </c>
      <c r="B13" s="42">
        <v>2.86</v>
      </c>
      <c r="C13" s="44"/>
      <c r="D13" s="42">
        <v>0.72</v>
      </c>
      <c r="E13" s="44"/>
      <c r="F13" s="63">
        <v>6.47</v>
      </c>
      <c r="G13" s="64"/>
      <c r="H13" s="107"/>
      <c r="I13" s="61">
        <v>22.5</v>
      </c>
      <c r="J13" s="62"/>
      <c r="K13" s="39">
        <v>77.5</v>
      </c>
      <c r="L13" s="39">
        <v>0</v>
      </c>
    </row>
    <row r="14" spans="1:12" ht="24.95" customHeight="1" thickBot="1" x14ac:dyDescent="0.25">
      <c r="A14" s="54"/>
      <c r="B14" s="48"/>
      <c r="C14" s="50"/>
      <c r="D14" s="48"/>
      <c r="E14" s="50"/>
      <c r="F14" s="65"/>
      <c r="G14" s="66"/>
      <c r="H14" s="108"/>
      <c r="I14" s="3">
        <v>15.1</v>
      </c>
      <c r="J14" s="15">
        <v>7.4</v>
      </c>
      <c r="K14" s="40"/>
      <c r="L14" s="40"/>
    </row>
    <row r="15" spans="1:12" ht="24.95" customHeight="1" thickBot="1" x14ac:dyDescent="0.25">
      <c r="A15" s="53">
        <v>0.41666666666666669</v>
      </c>
      <c r="B15" s="42"/>
      <c r="C15" s="44"/>
      <c r="D15" s="42"/>
      <c r="E15" s="44"/>
      <c r="F15" s="63">
        <v>10.43</v>
      </c>
      <c r="G15" s="64"/>
      <c r="H15" s="107"/>
      <c r="I15" s="61">
        <v>21.4</v>
      </c>
      <c r="J15" s="62"/>
      <c r="K15" s="39">
        <v>78.599999999999994</v>
      </c>
      <c r="L15" s="39">
        <v>0</v>
      </c>
    </row>
    <row r="16" spans="1:12" ht="24.95" customHeight="1" thickBot="1" x14ac:dyDescent="0.25">
      <c r="A16" s="54"/>
      <c r="B16" s="48"/>
      <c r="C16" s="50"/>
      <c r="D16" s="48"/>
      <c r="E16" s="50"/>
      <c r="F16" s="65"/>
      <c r="G16" s="66"/>
      <c r="H16" s="108"/>
      <c r="I16" s="3">
        <v>14.2</v>
      </c>
      <c r="J16" s="15">
        <v>7.5</v>
      </c>
      <c r="K16" s="40"/>
      <c r="L16" s="40"/>
    </row>
    <row r="17" spans="1:12" ht="24.95" customHeight="1" thickBot="1" x14ac:dyDescent="0.25">
      <c r="A17" s="53">
        <v>0.5</v>
      </c>
      <c r="B17" s="42">
        <v>1.18</v>
      </c>
      <c r="C17" s="44"/>
      <c r="D17" s="42">
        <v>0.8</v>
      </c>
      <c r="E17" s="44"/>
      <c r="F17" s="63"/>
      <c r="G17" s="64"/>
      <c r="H17" s="12"/>
      <c r="I17" s="61"/>
      <c r="J17" s="62"/>
      <c r="K17" s="39"/>
      <c r="L17" s="39"/>
    </row>
    <row r="18" spans="1:12" ht="24.95" customHeight="1" thickBot="1" x14ac:dyDescent="0.25">
      <c r="A18" s="54"/>
      <c r="B18" s="48"/>
      <c r="C18" s="50"/>
      <c r="D18" s="48"/>
      <c r="E18" s="50"/>
      <c r="F18" s="65"/>
      <c r="G18" s="66"/>
      <c r="H18" s="10"/>
      <c r="I18" s="3"/>
      <c r="J18" s="13"/>
      <c r="K18" s="40"/>
      <c r="L18" s="40"/>
    </row>
    <row r="19" spans="1:12" ht="24.95" customHeight="1" thickBot="1" x14ac:dyDescent="0.25">
      <c r="A19" s="53">
        <v>0.58333333333333337</v>
      </c>
      <c r="B19" s="42"/>
      <c r="C19" s="43"/>
      <c r="D19" s="43"/>
      <c r="E19" s="44"/>
      <c r="F19" s="63">
        <v>13.95</v>
      </c>
      <c r="G19" s="64"/>
      <c r="H19" s="107"/>
      <c r="I19" s="61">
        <v>24.7</v>
      </c>
      <c r="J19" s="62"/>
      <c r="K19" s="39">
        <v>75.3</v>
      </c>
      <c r="L19" s="39">
        <v>0</v>
      </c>
    </row>
    <row r="20" spans="1:12" ht="24.95" customHeight="1" thickBot="1" x14ac:dyDescent="0.25">
      <c r="A20" s="54"/>
      <c r="B20" s="48"/>
      <c r="C20" s="49"/>
      <c r="D20" s="49"/>
      <c r="E20" s="50"/>
      <c r="F20" s="65"/>
      <c r="G20" s="66"/>
      <c r="H20" s="108"/>
      <c r="I20" s="3">
        <v>17</v>
      </c>
      <c r="J20" s="15">
        <v>7.7</v>
      </c>
      <c r="K20" s="40"/>
      <c r="L20" s="40"/>
    </row>
    <row r="21" spans="1:12" ht="50.1" customHeight="1" thickBot="1" x14ac:dyDescent="0.25">
      <c r="A21" s="1">
        <v>0.66666666666666663</v>
      </c>
      <c r="B21" s="41">
        <v>0.99</v>
      </c>
      <c r="C21" s="41"/>
      <c r="D21" s="41">
        <v>0.34</v>
      </c>
      <c r="E21" s="41"/>
      <c r="F21" s="42"/>
      <c r="G21" s="43"/>
      <c r="H21" s="43"/>
      <c r="I21" s="43"/>
      <c r="J21" s="43"/>
      <c r="K21" s="43"/>
      <c r="L21" s="44"/>
    </row>
    <row r="22" spans="1:12" ht="50.1" customHeight="1" thickBot="1" x14ac:dyDescent="0.25">
      <c r="A22" s="1">
        <v>0.83333333333333337</v>
      </c>
      <c r="B22" s="41">
        <v>1.6</v>
      </c>
      <c r="C22" s="41"/>
      <c r="D22" s="41">
        <v>5.31</v>
      </c>
      <c r="E22" s="41"/>
      <c r="F22" s="45"/>
      <c r="G22" s="46"/>
      <c r="H22" s="46"/>
      <c r="I22" s="46"/>
      <c r="J22" s="46"/>
      <c r="K22" s="46"/>
      <c r="L22" s="47"/>
    </row>
    <row r="23" spans="1:12" ht="50.1" customHeight="1" thickBot="1" x14ac:dyDescent="0.25">
      <c r="A23" s="1">
        <v>1</v>
      </c>
      <c r="B23" s="51">
        <v>6</v>
      </c>
      <c r="C23" s="52"/>
      <c r="D23" s="51">
        <v>2.97</v>
      </c>
      <c r="E23" s="52"/>
      <c r="F23" s="45"/>
      <c r="G23" s="46"/>
      <c r="H23" s="46"/>
      <c r="I23" s="46"/>
      <c r="J23" s="46"/>
      <c r="K23" s="46"/>
      <c r="L23" s="47"/>
    </row>
    <row r="24" spans="1:12" ht="50.1" customHeight="1" thickBot="1" x14ac:dyDescent="0.25">
      <c r="A24" s="1">
        <v>0.16666666666666666</v>
      </c>
      <c r="B24" s="41">
        <v>7.3</v>
      </c>
      <c r="C24" s="41"/>
      <c r="D24" s="41">
        <v>2.58</v>
      </c>
      <c r="E24" s="41"/>
      <c r="F24" s="48"/>
      <c r="G24" s="49"/>
      <c r="H24" s="49"/>
      <c r="I24" s="49"/>
      <c r="J24" s="49"/>
      <c r="K24" s="49"/>
      <c r="L24" s="50"/>
    </row>
  </sheetData>
  <mergeCells count="68"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17:K18"/>
    <mergeCell ref="L17:L18"/>
    <mergeCell ref="A15:A16"/>
    <mergeCell ref="B15:C16"/>
    <mergeCell ref="D15:E16"/>
    <mergeCell ref="F15:H16"/>
    <mergeCell ref="I15:J15"/>
    <mergeCell ref="K15:K16"/>
    <mergeCell ref="A17:A18"/>
    <mergeCell ref="B17:C18"/>
    <mergeCell ref="D17:E18"/>
    <mergeCell ref="F17:G18"/>
    <mergeCell ref="I17:J17"/>
    <mergeCell ref="B19:E20"/>
    <mergeCell ref="F19:H20"/>
    <mergeCell ref="I19:J19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  <mergeCell ref="L19:L20"/>
  </mergeCells>
  <conditionalFormatting sqref="D9">
    <cfRule type="cellIs" dxfId="650" priority="24" operator="greaterThan">
      <formula>7</formula>
    </cfRule>
  </conditionalFormatting>
  <conditionalFormatting sqref="F9">
    <cfRule type="cellIs" dxfId="649" priority="23" operator="greaterThan">
      <formula>20</formula>
    </cfRule>
  </conditionalFormatting>
  <conditionalFormatting sqref="H9:J10">
    <cfRule type="cellIs" dxfId="648" priority="22" operator="lessThan">
      <formula>80</formula>
    </cfRule>
  </conditionalFormatting>
  <conditionalFormatting sqref="K9:L10">
    <cfRule type="cellIs" dxfId="647" priority="21" operator="greaterThan">
      <formula>0</formula>
    </cfRule>
  </conditionalFormatting>
  <conditionalFormatting sqref="B24:E24 B23 D23 B22:E22 B21:F21 B15 B19 D13 B13">
    <cfRule type="cellIs" dxfId="646" priority="20" operator="greaterThan">
      <formula>7</formula>
    </cfRule>
  </conditionalFormatting>
  <conditionalFormatting sqref="I15 I13">
    <cfRule type="cellIs" dxfId="645" priority="19" operator="greaterThan">
      <formula>20</formula>
    </cfRule>
  </conditionalFormatting>
  <conditionalFormatting sqref="K15 K13">
    <cfRule type="cellIs" dxfId="644" priority="18" stopIfTrue="1" operator="lessThan">
      <formula>80</formula>
    </cfRule>
  </conditionalFormatting>
  <conditionalFormatting sqref="L15 L13">
    <cfRule type="cellIs" dxfId="643" priority="17" operator="greaterThan">
      <formula>0</formula>
    </cfRule>
  </conditionalFormatting>
  <conditionalFormatting sqref="F15 F19 F13">
    <cfRule type="cellIs" dxfId="642" priority="16" stopIfTrue="1" operator="greaterThan">
      <formula>10</formula>
    </cfRule>
  </conditionalFormatting>
  <conditionalFormatting sqref="K19">
    <cfRule type="cellIs" dxfId="641" priority="15" stopIfTrue="1" operator="lessThan">
      <formula>80</formula>
    </cfRule>
  </conditionalFormatting>
  <conditionalFormatting sqref="I14:J14">
    <cfRule type="cellIs" dxfId="640" priority="14" operator="greaterThan">
      <formula>20</formula>
    </cfRule>
  </conditionalFormatting>
  <conditionalFormatting sqref="J16">
    <cfRule type="cellIs" dxfId="639" priority="13" operator="greaterThan">
      <formula>20</formula>
    </cfRule>
  </conditionalFormatting>
  <conditionalFormatting sqref="I16:I17">
    <cfRule type="cellIs" dxfId="638" priority="12" operator="greaterThan">
      <formula>20</formula>
    </cfRule>
  </conditionalFormatting>
  <conditionalFormatting sqref="I18">
    <cfRule type="cellIs" dxfId="637" priority="11" operator="greaterThan">
      <formula>20</formula>
    </cfRule>
  </conditionalFormatting>
  <conditionalFormatting sqref="I19">
    <cfRule type="cellIs" dxfId="636" priority="10" operator="greaterThan">
      <formula>20</formula>
    </cfRule>
  </conditionalFormatting>
  <conditionalFormatting sqref="I20">
    <cfRule type="cellIs" dxfId="635" priority="9" operator="greaterThan">
      <formula>20</formula>
    </cfRule>
  </conditionalFormatting>
  <conditionalFormatting sqref="J20">
    <cfRule type="cellIs" dxfId="634" priority="8" operator="greaterThan">
      <formula>20</formula>
    </cfRule>
  </conditionalFormatting>
  <conditionalFormatting sqref="D15">
    <cfRule type="cellIs" dxfId="633" priority="7" operator="greaterThan">
      <formula>7</formula>
    </cfRule>
  </conditionalFormatting>
  <conditionalFormatting sqref="D17">
    <cfRule type="cellIs" dxfId="632" priority="6" operator="greaterThan">
      <formula>7</formula>
    </cfRule>
  </conditionalFormatting>
  <conditionalFormatting sqref="B17">
    <cfRule type="cellIs" dxfId="631" priority="5" operator="greaterThan">
      <formula>7</formula>
    </cfRule>
  </conditionalFormatting>
  <conditionalFormatting sqref="K17">
    <cfRule type="cellIs" dxfId="630" priority="4" stopIfTrue="1" operator="lessThan">
      <formula>80</formula>
    </cfRule>
  </conditionalFormatting>
  <conditionalFormatting sqref="L17">
    <cfRule type="cellIs" dxfId="629" priority="3" operator="greaterThan">
      <formula>0</formula>
    </cfRule>
  </conditionalFormatting>
  <conditionalFormatting sqref="L19">
    <cfRule type="cellIs" dxfId="628" priority="2" operator="greaterThan">
      <formula>0</formula>
    </cfRule>
  </conditionalFormatting>
  <conditionalFormatting sqref="F17">
    <cfRule type="cellIs" dxfId="627" priority="1" stopIfTrue="1" operator="greaterThan">
      <formula>10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topLeftCell="A7" zoomScale="64" zoomScaleNormal="100" zoomScaleSheetLayoutView="64" zoomScalePageLayoutView="80" workbookViewId="0">
      <selection activeCell="B9" sqref="B9:C10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100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2"/>
    </row>
    <row r="2" spans="1:12" ht="40.5" customHeight="1" x14ac:dyDescent="0.2">
      <c r="A2" s="103" t="s">
        <v>25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5"/>
    </row>
    <row r="3" spans="1:12" ht="40.5" customHeight="1" x14ac:dyDescent="0.2">
      <c r="A3" s="106" t="s">
        <v>24</v>
      </c>
      <c r="B3" s="106"/>
      <c r="C3" s="106" t="s">
        <v>23</v>
      </c>
      <c r="D3" s="106"/>
      <c r="E3" s="106" t="s">
        <v>22</v>
      </c>
      <c r="F3" s="106"/>
      <c r="G3" s="106"/>
      <c r="H3" s="106" t="s">
        <v>21</v>
      </c>
      <c r="I3" s="106"/>
      <c r="J3" s="106"/>
      <c r="K3" s="106" t="s">
        <v>20</v>
      </c>
      <c r="L3" s="106"/>
    </row>
    <row r="4" spans="1:12" ht="40.5" customHeight="1" x14ac:dyDescent="0.2">
      <c r="A4" s="91">
        <v>48527531</v>
      </c>
      <c r="B4" s="91"/>
      <c r="C4" s="91"/>
      <c r="D4" s="91"/>
      <c r="E4" s="91" t="s">
        <v>32</v>
      </c>
      <c r="F4" s="91"/>
      <c r="G4" s="91"/>
      <c r="H4" s="91" t="s">
        <v>19</v>
      </c>
      <c r="I4" s="91"/>
      <c r="J4" s="91"/>
      <c r="K4" s="92" t="s">
        <v>18</v>
      </c>
      <c r="L4" s="92"/>
    </row>
    <row r="5" spans="1:12" ht="40.5" customHeight="1" thickBot="1" x14ac:dyDescent="0.25">
      <c r="A5" s="97" t="s">
        <v>17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67" t="s">
        <v>16</v>
      </c>
      <c r="B7" s="93" t="s">
        <v>15</v>
      </c>
      <c r="C7" s="94"/>
      <c r="D7" s="87" t="s">
        <v>14</v>
      </c>
      <c r="E7" s="87"/>
      <c r="F7" s="89" t="s">
        <v>13</v>
      </c>
      <c r="G7" s="90"/>
      <c r="H7" s="87" t="s">
        <v>12</v>
      </c>
      <c r="I7" s="87"/>
      <c r="J7" s="87"/>
      <c r="K7" s="69" t="s">
        <v>11</v>
      </c>
      <c r="L7" s="70"/>
    </row>
    <row r="8" spans="1:12" ht="24.95" customHeight="1" thickBot="1" x14ac:dyDescent="0.25">
      <c r="A8" s="68"/>
      <c r="B8" s="95"/>
      <c r="C8" s="96"/>
      <c r="D8" s="88"/>
      <c r="E8" s="88"/>
      <c r="F8" s="5" t="s">
        <v>10</v>
      </c>
      <c r="G8" s="5" t="s">
        <v>9</v>
      </c>
      <c r="H8" s="88"/>
      <c r="I8" s="88"/>
      <c r="J8" s="88"/>
      <c r="K8" s="71"/>
      <c r="L8" s="72"/>
    </row>
    <row r="9" spans="1:12" ht="24.95" customHeight="1" thickBot="1" x14ac:dyDescent="0.25">
      <c r="A9" s="73">
        <v>660.6</v>
      </c>
      <c r="B9" s="75">
        <v>25</v>
      </c>
      <c r="C9" s="76"/>
      <c r="D9" s="42">
        <f>AVERAGE(B13:E24)</f>
        <v>3.9875000000000003</v>
      </c>
      <c r="E9" s="44"/>
      <c r="F9" s="61">
        <f>AVERAGE(I13,I15,I17,I19)</f>
        <v>21.433333333333334</v>
      </c>
      <c r="G9" s="62"/>
      <c r="H9" s="79">
        <f>AVERAGE(K13,K15,K17,K19)</f>
        <v>78.566666666666663</v>
      </c>
      <c r="I9" s="80"/>
      <c r="J9" s="81"/>
      <c r="K9" s="79">
        <f>AVERAGE(L13,L15,L17,L19)</f>
        <v>0</v>
      </c>
      <c r="L9" s="81"/>
    </row>
    <row r="10" spans="1:12" ht="24.95" customHeight="1" thickBot="1" x14ac:dyDescent="0.25">
      <c r="A10" s="74"/>
      <c r="B10" s="77"/>
      <c r="C10" s="78"/>
      <c r="D10" s="48"/>
      <c r="E10" s="50"/>
      <c r="F10" s="3">
        <f>AVERAGE(I14,I16,I18,I20)</f>
        <v>15.433333333333332</v>
      </c>
      <c r="G10" s="3">
        <f>AVERAGE(J14,J16,J18,J20)</f>
        <v>6</v>
      </c>
      <c r="H10" s="82"/>
      <c r="I10" s="83"/>
      <c r="J10" s="84"/>
      <c r="K10" s="82"/>
      <c r="L10" s="84"/>
    </row>
    <row r="11" spans="1:12" ht="24.95" customHeight="1" thickBot="1" x14ac:dyDescent="0.25">
      <c r="A11" s="67" t="s">
        <v>8</v>
      </c>
      <c r="B11" s="69" t="s">
        <v>7</v>
      </c>
      <c r="C11" s="70"/>
      <c r="D11" s="69" t="s">
        <v>6</v>
      </c>
      <c r="E11" s="70"/>
      <c r="F11" s="69" t="s">
        <v>5</v>
      </c>
      <c r="G11" s="87"/>
      <c r="H11" s="70"/>
      <c r="I11" s="89" t="s">
        <v>4</v>
      </c>
      <c r="J11" s="90"/>
      <c r="K11" s="85" t="s">
        <v>3</v>
      </c>
      <c r="L11" s="70" t="s">
        <v>2</v>
      </c>
    </row>
    <row r="12" spans="1:12" ht="24.95" customHeight="1" thickBot="1" x14ac:dyDescent="0.25">
      <c r="A12" s="68"/>
      <c r="B12" s="71"/>
      <c r="C12" s="72"/>
      <c r="D12" s="71"/>
      <c r="E12" s="72"/>
      <c r="F12" s="71"/>
      <c r="G12" s="88"/>
      <c r="H12" s="72"/>
      <c r="I12" s="5" t="s">
        <v>1</v>
      </c>
      <c r="J12" s="14" t="s">
        <v>0</v>
      </c>
      <c r="K12" s="86"/>
      <c r="L12" s="72"/>
    </row>
    <row r="13" spans="1:12" ht="24.95" customHeight="1" thickBot="1" x14ac:dyDescent="0.25">
      <c r="A13" s="53">
        <v>0.33333333333333331</v>
      </c>
      <c r="B13" s="42">
        <v>4.5599999999999996</v>
      </c>
      <c r="C13" s="44"/>
      <c r="D13" s="42">
        <v>2.83</v>
      </c>
      <c r="E13" s="44"/>
      <c r="F13" s="63">
        <v>5.32</v>
      </c>
      <c r="G13" s="64"/>
      <c r="H13" s="107"/>
      <c r="I13" s="61">
        <v>19.7</v>
      </c>
      <c r="J13" s="62"/>
      <c r="K13" s="39">
        <v>80.3</v>
      </c>
      <c r="L13" s="39">
        <v>0</v>
      </c>
    </row>
    <row r="14" spans="1:12" ht="24.95" customHeight="1" thickBot="1" x14ac:dyDescent="0.25">
      <c r="A14" s="54"/>
      <c r="B14" s="48"/>
      <c r="C14" s="50"/>
      <c r="D14" s="48"/>
      <c r="E14" s="50"/>
      <c r="F14" s="65"/>
      <c r="G14" s="66"/>
      <c r="H14" s="108"/>
      <c r="I14" s="3">
        <v>14.8</v>
      </c>
      <c r="J14" s="15">
        <v>4.9000000000000004</v>
      </c>
      <c r="K14" s="40"/>
      <c r="L14" s="40"/>
    </row>
    <row r="15" spans="1:12" ht="24.95" customHeight="1" thickBot="1" x14ac:dyDescent="0.25">
      <c r="A15" s="53">
        <v>0.41666666666666669</v>
      </c>
      <c r="B15" s="42"/>
      <c r="C15" s="44"/>
      <c r="D15" s="42"/>
      <c r="E15" s="44"/>
      <c r="F15" s="63">
        <v>5.39</v>
      </c>
      <c r="G15" s="64"/>
      <c r="H15" s="107"/>
      <c r="I15" s="61">
        <v>20.2</v>
      </c>
      <c r="J15" s="62"/>
      <c r="K15" s="39">
        <v>79.8</v>
      </c>
      <c r="L15" s="39">
        <v>0</v>
      </c>
    </row>
    <row r="16" spans="1:12" ht="24.95" customHeight="1" thickBot="1" x14ac:dyDescent="0.25">
      <c r="A16" s="54"/>
      <c r="B16" s="48"/>
      <c r="C16" s="50"/>
      <c r="D16" s="48"/>
      <c r="E16" s="50"/>
      <c r="F16" s="65"/>
      <c r="G16" s="66"/>
      <c r="H16" s="108"/>
      <c r="I16" s="3">
        <v>14.7</v>
      </c>
      <c r="J16" s="15">
        <v>5.5</v>
      </c>
      <c r="K16" s="40"/>
      <c r="L16" s="40"/>
    </row>
    <row r="17" spans="1:12" ht="24.95" customHeight="1" thickBot="1" x14ac:dyDescent="0.25">
      <c r="A17" s="53">
        <v>0.5</v>
      </c>
      <c r="B17" s="42">
        <v>5.54</v>
      </c>
      <c r="C17" s="44"/>
      <c r="D17" s="42">
        <v>4.32</v>
      </c>
      <c r="E17" s="44"/>
      <c r="F17" s="63"/>
      <c r="G17" s="64"/>
      <c r="H17" s="12"/>
      <c r="I17" s="61"/>
      <c r="J17" s="62"/>
      <c r="K17" s="39"/>
      <c r="L17" s="39"/>
    </row>
    <row r="18" spans="1:12" ht="24.95" customHeight="1" thickBot="1" x14ac:dyDescent="0.25">
      <c r="A18" s="54"/>
      <c r="B18" s="48"/>
      <c r="C18" s="50"/>
      <c r="D18" s="48"/>
      <c r="E18" s="50"/>
      <c r="F18" s="65"/>
      <c r="G18" s="66"/>
      <c r="H18" s="10"/>
      <c r="I18" s="3"/>
      <c r="J18" s="13"/>
      <c r="K18" s="40"/>
      <c r="L18" s="40"/>
    </row>
    <row r="19" spans="1:12" ht="24.95" customHeight="1" thickBot="1" x14ac:dyDescent="0.25">
      <c r="A19" s="53">
        <v>0.58333333333333337</v>
      </c>
      <c r="B19" s="42"/>
      <c r="C19" s="43"/>
      <c r="D19" s="43"/>
      <c r="E19" s="44"/>
      <c r="F19" s="63">
        <v>7.79</v>
      </c>
      <c r="G19" s="64"/>
      <c r="H19" s="107"/>
      <c r="I19" s="61">
        <v>24.4</v>
      </c>
      <c r="J19" s="62"/>
      <c r="K19" s="39">
        <v>75.599999999999994</v>
      </c>
      <c r="L19" s="39">
        <v>0</v>
      </c>
    </row>
    <row r="20" spans="1:12" ht="24.95" customHeight="1" thickBot="1" x14ac:dyDescent="0.25">
      <c r="A20" s="54"/>
      <c r="B20" s="48"/>
      <c r="C20" s="49"/>
      <c r="D20" s="49"/>
      <c r="E20" s="50"/>
      <c r="F20" s="65"/>
      <c r="G20" s="66"/>
      <c r="H20" s="108"/>
      <c r="I20" s="3">
        <v>16.8</v>
      </c>
      <c r="J20" s="15">
        <v>7.6</v>
      </c>
      <c r="K20" s="40"/>
      <c r="L20" s="40"/>
    </row>
    <row r="21" spans="1:12" ht="50.1" customHeight="1" thickBot="1" x14ac:dyDescent="0.25">
      <c r="A21" s="1">
        <v>0.66666666666666663</v>
      </c>
      <c r="B21" s="41">
        <v>1.85</v>
      </c>
      <c r="C21" s="41"/>
      <c r="D21" s="41">
        <v>1.31</v>
      </c>
      <c r="E21" s="41"/>
      <c r="F21" s="42"/>
      <c r="G21" s="43"/>
      <c r="H21" s="43"/>
      <c r="I21" s="43"/>
      <c r="J21" s="43"/>
      <c r="K21" s="43"/>
      <c r="L21" s="44"/>
    </row>
    <row r="22" spans="1:12" ht="50.1" customHeight="1" thickBot="1" x14ac:dyDescent="0.25">
      <c r="A22" s="1">
        <v>0.83333333333333337</v>
      </c>
      <c r="B22" s="41">
        <v>1.51</v>
      </c>
      <c r="C22" s="41"/>
      <c r="D22" s="41">
        <v>3.29</v>
      </c>
      <c r="E22" s="41"/>
      <c r="F22" s="45"/>
      <c r="G22" s="46"/>
      <c r="H22" s="46"/>
      <c r="I22" s="46"/>
      <c r="J22" s="46"/>
      <c r="K22" s="46"/>
      <c r="L22" s="47"/>
    </row>
    <row r="23" spans="1:12" ht="50.1" customHeight="1" thickBot="1" x14ac:dyDescent="0.25">
      <c r="A23" s="1">
        <v>1</v>
      </c>
      <c r="B23" s="51">
        <v>4.87</v>
      </c>
      <c r="C23" s="52"/>
      <c r="D23" s="51">
        <v>6.13</v>
      </c>
      <c r="E23" s="52"/>
      <c r="F23" s="45"/>
      <c r="G23" s="46"/>
      <c r="H23" s="46"/>
      <c r="I23" s="46"/>
      <c r="J23" s="46"/>
      <c r="K23" s="46"/>
      <c r="L23" s="47"/>
    </row>
    <row r="24" spans="1:12" ht="50.1" customHeight="1" thickBot="1" x14ac:dyDescent="0.25">
      <c r="A24" s="1">
        <v>0.16666666666666666</v>
      </c>
      <c r="B24" s="41">
        <v>6.13</v>
      </c>
      <c r="C24" s="41"/>
      <c r="D24" s="41">
        <v>5.51</v>
      </c>
      <c r="E24" s="41"/>
      <c r="F24" s="48"/>
      <c r="G24" s="49"/>
      <c r="H24" s="49"/>
      <c r="I24" s="49"/>
      <c r="J24" s="49"/>
      <c r="K24" s="49"/>
      <c r="L24" s="50"/>
    </row>
  </sheetData>
  <mergeCells count="68"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17:K18"/>
    <mergeCell ref="L17:L18"/>
    <mergeCell ref="A15:A16"/>
    <mergeCell ref="B15:C16"/>
    <mergeCell ref="D15:E16"/>
    <mergeCell ref="F15:H16"/>
    <mergeCell ref="I15:J15"/>
    <mergeCell ref="K15:K16"/>
    <mergeCell ref="A17:A18"/>
    <mergeCell ref="B17:C18"/>
    <mergeCell ref="D17:E18"/>
    <mergeCell ref="F17:G18"/>
    <mergeCell ref="I17:J17"/>
    <mergeCell ref="B19:E20"/>
    <mergeCell ref="F19:H20"/>
    <mergeCell ref="I19:J19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  <mergeCell ref="L19:L20"/>
  </mergeCells>
  <conditionalFormatting sqref="D9">
    <cfRule type="cellIs" dxfId="626" priority="25" operator="greaterThan">
      <formula>7</formula>
    </cfRule>
  </conditionalFormatting>
  <conditionalFormatting sqref="F9">
    <cfRule type="cellIs" dxfId="625" priority="24" operator="greaterThan">
      <formula>20</formula>
    </cfRule>
  </conditionalFormatting>
  <conditionalFormatting sqref="H9:J10">
    <cfRule type="cellIs" dxfId="624" priority="23" operator="lessThan">
      <formula>80</formula>
    </cfRule>
  </conditionalFormatting>
  <conditionalFormatting sqref="K9:L10">
    <cfRule type="cellIs" dxfId="623" priority="22" operator="greaterThan">
      <formula>0</formula>
    </cfRule>
  </conditionalFormatting>
  <conditionalFormatting sqref="B24:E24 B23 D23 B22:E22 B21:F21 B15 B19 D13 B13">
    <cfRule type="cellIs" dxfId="622" priority="21" operator="greaterThan">
      <formula>7</formula>
    </cfRule>
  </conditionalFormatting>
  <conditionalFormatting sqref="I15 I13">
    <cfRule type="cellIs" dxfId="621" priority="20" operator="greaterThan">
      <formula>20</formula>
    </cfRule>
  </conditionalFormatting>
  <conditionalFormatting sqref="K15 K13">
    <cfRule type="cellIs" dxfId="620" priority="19" stopIfTrue="1" operator="lessThan">
      <formula>80</formula>
    </cfRule>
  </conditionalFormatting>
  <conditionalFormatting sqref="L15 L13">
    <cfRule type="cellIs" dxfId="619" priority="18" operator="greaterThan">
      <formula>0</formula>
    </cfRule>
  </conditionalFormatting>
  <conditionalFormatting sqref="F15 F19 F13">
    <cfRule type="cellIs" dxfId="618" priority="17" stopIfTrue="1" operator="greaterThan">
      <formula>10</formula>
    </cfRule>
  </conditionalFormatting>
  <conditionalFormatting sqref="K19">
    <cfRule type="cellIs" dxfId="617" priority="16" stopIfTrue="1" operator="lessThan">
      <formula>80</formula>
    </cfRule>
  </conditionalFormatting>
  <conditionalFormatting sqref="I14:J14">
    <cfRule type="cellIs" dxfId="616" priority="15" operator="greaterThan">
      <formula>20</formula>
    </cfRule>
  </conditionalFormatting>
  <conditionalFormatting sqref="J16">
    <cfRule type="cellIs" dxfId="615" priority="14" operator="greaterThan">
      <formula>20</formula>
    </cfRule>
  </conditionalFormatting>
  <conditionalFormatting sqref="I16:I17">
    <cfRule type="cellIs" dxfId="614" priority="13" operator="greaterThan">
      <formula>20</formula>
    </cfRule>
  </conditionalFormatting>
  <conditionalFormatting sqref="I18">
    <cfRule type="cellIs" dxfId="613" priority="12" operator="greaterThan">
      <formula>20</formula>
    </cfRule>
  </conditionalFormatting>
  <conditionalFormatting sqref="I19">
    <cfRule type="cellIs" dxfId="612" priority="11" operator="greaterThan">
      <formula>20</formula>
    </cfRule>
  </conditionalFormatting>
  <conditionalFormatting sqref="I20">
    <cfRule type="cellIs" dxfId="611" priority="10" operator="greaterThan">
      <formula>20</formula>
    </cfRule>
  </conditionalFormatting>
  <conditionalFormatting sqref="J20">
    <cfRule type="cellIs" dxfId="610" priority="9" operator="greaterThan">
      <formula>20</formula>
    </cfRule>
  </conditionalFormatting>
  <conditionalFormatting sqref="D15">
    <cfRule type="cellIs" dxfId="609" priority="8" operator="greaterThan">
      <formula>7</formula>
    </cfRule>
  </conditionalFormatting>
  <conditionalFormatting sqref="D17">
    <cfRule type="cellIs" dxfId="608" priority="7" operator="greaterThan">
      <formula>7</formula>
    </cfRule>
  </conditionalFormatting>
  <conditionalFormatting sqref="B17">
    <cfRule type="cellIs" dxfId="607" priority="6" operator="greaterThan">
      <formula>7</formula>
    </cfRule>
  </conditionalFormatting>
  <conditionalFormatting sqref="L17">
    <cfRule type="cellIs" dxfId="606" priority="4" operator="greaterThan">
      <formula>0</formula>
    </cfRule>
  </conditionalFormatting>
  <conditionalFormatting sqref="L19">
    <cfRule type="cellIs" dxfId="605" priority="3" operator="greaterThan">
      <formula>0</formula>
    </cfRule>
  </conditionalFormatting>
  <conditionalFormatting sqref="F17">
    <cfRule type="cellIs" dxfId="604" priority="2" stopIfTrue="1" operator="greaterThan">
      <formula>10</formula>
    </cfRule>
  </conditionalFormatting>
  <conditionalFormatting sqref="K17">
    <cfRule type="cellIs" dxfId="603" priority="1" operator="greaterThan">
      <formula>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view="pageBreakPreview" zoomScale="57" zoomScaleNormal="100" zoomScaleSheetLayoutView="57" zoomScalePageLayoutView="80" workbookViewId="0">
      <selection activeCell="F31" sqref="F31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100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2"/>
    </row>
    <row r="2" spans="1:12" ht="40.5" customHeight="1" x14ac:dyDescent="0.2">
      <c r="A2" s="103" t="s">
        <v>25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5"/>
    </row>
    <row r="3" spans="1:12" ht="40.5" customHeight="1" x14ac:dyDescent="0.2">
      <c r="A3" s="106" t="s">
        <v>24</v>
      </c>
      <c r="B3" s="106"/>
      <c r="C3" s="106" t="s">
        <v>23</v>
      </c>
      <c r="D3" s="106"/>
      <c r="E3" s="106" t="s">
        <v>22</v>
      </c>
      <c r="F3" s="106"/>
      <c r="G3" s="106"/>
      <c r="H3" s="106" t="s">
        <v>21</v>
      </c>
      <c r="I3" s="106"/>
      <c r="J3" s="106"/>
      <c r="K3" s="106" t="s">
        <v>20</v>
      </c>
      <c r="L3" s="106"/>
    </row>
    <row r="4" spans="1:12" ht="40.5" customHeight="1" x14ac:dyDescent="0.2">
      <c r="A4" s="91">
        <v>48527531</v>
      </c>
      <c r="B4" s="91"/>
      <c r="C4" s="91"/>
      <c r="D4" s="91"/>
      <c r="E4" s="91" t="s">
        <v>33</v>
      </c>
      <c r="F4" s="91"/>
      <c r="G4" s="91"/>
      <c r="H4" s="91" t="s">
        <v>19</v>
      </c>
      <c r="I4" s="91"/>
      <c r="J4" s="91"/>
      <c r="K4" s="92" t="s">
        <v>18</v>
      </c>
      <c r="L4" s="92"/>
    </row>
    <row r="5" spans="1:12" ht="40.5" customHeight="1" thickBot="1" x14ac:dyDescent="0.25">
      <c r="A5" s="97" t="s">
        <v>17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67" t="s">
        <v>16</v>
      </c>
      <c r="B7" s="93" t="s">
        <v>15</v>
      </c>
      <c r="C7" s="94"/>
      <c r="D7" s="87" t="s">
        <v>14</v>
      </c>
      <c r="E7" s="87"/>
      <c r="F7" s="89" t="s">
        <v>13</v>
      </c>
      <c r="G7" s="90"/>
      <c r="H7" s="87" t="s">
        <v>12</v>
      </c>
      <c r="I7" s="87"/>
      <c r="J7" s="87"/>
      <c r="K7" s="69" t="s">
        <v>11</v>
      </c>
      <c r="L7" s="70"/>
    </row>
    <row r="8" spans="1:12" ht="24.95" customHeight="1" thickBot="1" x14ac:dyDescent="0.25">
      <c r="A8" s="68"/>
      <c r="B8" s="95"/>
      <c r="C8" s="96"/>
      <c r="D8" s="88"/>
      <c r="E8" s="88"/>
      <c r="F8" s="5" t="s">
        <v>10</v>
      </c>
      <c r="G8" s="5" t="s">
        <v>9</v>
      </c>
      <c r="H8" s="88"/>
      <c r="I8" s="88"/>
      <c r="J8" s="88"/>
      <c r="K8" s="71"/>
      <c r="L8" s="72"/>
    </row>
    <row r="9" spans="1:12" ht="24.95" customHeight="1" thickBot="1" x14ac:dyDescent="0.25">
      <c r="A9" s="73">
        <v>713.7</v>
      </c>
      <c r="B9" s="75">
        <v>27</v>
      </c>
      <c r="C9" s="76"/>
      <c r="D9" s="42">
        <f>AVERAGE(B13:E25)</f>
        <v>3.7299999999999991</v>
      </c>
      <c r="E9" s="44"/>
      <c r="F9" s="61">
        <f>AVERAGE(I13,I15,I17,I19)</f>
        <v>17.733333333333334</v>
      </c>
      <c r="G9" s="62"/>
      <c r="H9" s="79">
        <f>AVERAGE(K13,K15,K17,K19)</f>
        <v>82.266666666666666</v>
      </c>
      <c r="I9" s="80"/>
      <c r="J9" s="81"/>
      <c r="K9" s="79">
        <f>AVERAGE(L13,L15,L17,L19)</f>
        <v>0</v>
      </c>
      <c r="L9" s="81"/>
    </row>
    <row r="10" spans="1:12" ht="24.95" customHeight="1" thickBot="1" x14ac:dyDescent="0.25">
      <c r="A10" s="74"/>
      <c r="B10" s="77"/>
      <c r="C10" s="78"/>
      <c r="D10" s="48"/>
      <c r="E10" s="50"/>
      <c r="F10" s="3">
        <f>AVERAGE(I14,I16,I18,I20)</f>
        <v>12.633333333333333</v>
      </c>
      <c r="G10" s="3">
        <f>AVERAGE(J14,J16,J18,J20)</f>
        <v>5.0999999999999996</v>
      </c>
      <c r="H10" s="82"/>
      <c r="I10" s="83"/>
      <c r="J10" s="84"/>
      <c r="K10" s="82"/>
      <c r="L10" s="84"/>
    </row>
    <row r="11" spans="1:12" ht="24.95" customHeight="1" thickBot="1" x14ac:dyDescent="0.25">
      <c r="A11" s="67" t="s">
        <v>8</v>
      </c>
      <c r="B11" s="69" t="s">
        <v>7</v>
      </c>
      <c r="C11" s="70"/>
      <c r="D11" s="69" t="s">
        <v>6</v>
      </c>
      <c r="E11" s="70"/>
      <c r="F11" s="69" t="s">
        <v>5</v>
      </c>
      <c r="G11" s="87"/>
      <c r="H11" s="70"/>
      <c r="I11" s="89" t="s">
        <v>4</v>
      </c>
      <c r="J11" s="90"/>
      <c r="K11" s="85" t="s">
        <v>3</v>
      </c>
      <c r="L11" s="70" t="s">
        <v>2</v>
      </c>
    </row>
    <row r="12" spans="1:12" ht="24.95" customHeight="1" thickBot="1" x14ac:dyDescent="0.25">
      <c r="A12" s="68"/>
      <c r="B12" s="71"/>
      <c r="C12" s="72"/>
      <c r="D12" s="71"/>
      <c r="E12" s="72"/>
      <c r="F12" s="71"/>
      <c r="G12" s="88"/>
      <c r="H12" s="72"/>
      <c r="I12" s="5" t="s">
        <v>1</v>
      </c>
      <c r="J12" s="14" t="s">
        <v>0</v>
      </c>
      <c r="K12" s="86"/>
      <c r="L12" s="72"/>
    </row>
    <row r="13" spans="1:12" ht="24.95" customHeight="1" thickBot="1" x14ac:dyDescent="0.25">
      <c r="A13" s="53">
        <v>0.33333333333333331</v>
      </c>
      <c r="B13" s="42">
        <v>5.48</v>
      </c>
      <c r="C13" s="44"/>
      <c r="D13" s="42">
        <v>1.77</v>
      </c>
      <c r="E13" s="44"/>
      <c r="F13" s="63">
        <v>9.61</v>
      </c>
      <c r="G13" s="64"/>
      <c r="H13" s="107"/>
      <c r="I13" s="61">
        <v>23.1</v>
      </c>
      <c r="J13" s="62"/>
      <c r="K13" s="39">
        <v>76.900000000000006</v>
      </c>
      <c r="L13" s="39">
        <v>0</v>
      </c>
    </row>
    <row r="14" spans="1:12" ht="24.95" customHeight="1" thickBot="1" x14ac:dyDescent="0.25">
      <c r="A14" s="54"/>
      <c r="B14" s="48"/>
      <c r="C14" s="50"/>
      <c r="D14" s="48"/>
      <c r="E14" s="50"/>
      <c r="F14" s="65"/>
      <c r="G14" s="66"/>
      <c r="H14" s="108"/>
      <c r="I14" s="3">
        <v>16</v>
      </c>
      <c r="J14" s="15">
        <v>7.1</v>
      </c>
      <c r="K14" s="40"/>
      <c r="L14" s="40"/>
    </row>
    <row r="15" spans="1:12" ht="24.95" customHeight="1" thickBot="1" x14ac:dyDescent="0.25">
      <c r="A15" s="53">
        <v>0.41666666666666669</v>
      </c>
      <c r="B15" s="42"/>
      <c r="C15" s="44"/>
      <c r="D15" s="42"/>
      <c r="E15" s="44"/>
      <c r="F15" s="63">
        <v>5.17</v>
      </c>
      <c r="G15" s="64"/>
      <c r="H15" s="107"/>
      <c r="I15" s="61">
        <v>25.8</v>
      </c>
      <c r="J15" s="62"/>
      <c r="K15" s="39">
        <v>74.2</v>
      </c>
      <c r="L15" s="39">
        <v>0</v>
      </c>
    </row>
    <row r="16" spans="1:12" ht="24.95" customHeight="1" thickBot="1" x14ac:dyDescent="0.25">
      <c r="A16" s="54"/>
      <c r="B16" s="48"/>
      <c r="C16" s="50"/>
      <c r="D16" s="48"/>
      <c r="E16" s="50"/>
      <c r="F16" s="65"/>
      <c r="G16" s="66"/>
      <c r="H16" s="108"/>
      <c r="I16" s="3">
        <v>19</v>
      </c>
      <c r="J16" s="15">
        <v>6.8</v>
      </c>
      <c r="K16" s="40"/>
      <c r="L16" s="40"/>
    </row>
    <row r="17" spans="1:12" ht="24.95" customHeight="1" thickBot="1" x14ac:dyDescent="0.25">
      <c r="A17" s="53">
        <v>0.5</v>
      </c>
      <c r="B17" s="42">
        <v>3.91</v>
      </c>
      <c r="C17" s="44"/>
      <c r="D17" s="42">
        <v>3.82</v>
      </c>
      <c r="E17" s="44"/>
      <c r="F17" s="63"/>
      <c r="G17" s="64"/>
      <c r="H17" s="12"/>
      <c r="I17" s="61"/>
      <c r="J17" s="62"/>
      <c r="K17" s="39"/>
      <c r="L17" s="39"/>
    </row>
    <row r="18" spans="1:12" ht="24.95" customHeight="1" thickBot="1" x14ac:dyDescent="0.25">
      <c r="A18" s="54"/>
      <c r="B18" s="48"/>
      <c r="C18" s="50"/>
      <c r="D18" s="48"/>
      <c r="E18" s="50"/>
      <c r="F18" s="65"/>
      <c r="G18" s="66"/>
      <c r="H18" s="10"/>
      <c r="I18" s="3"/>
      <c r="J18" s="13"/>
      <c r="K18" s="40"/>
      <c r="L18" s="40"/>
    </row>
    <row r="19" spans="1:12" ht="24.95" customHeight="1" thickBot="1" x14ac:dyDescent="0.25">
      <c r="A19" s="53">
        <v>0.58333333333333337</v>
      </c>
      <c r="B19" s="42"/>
      <c r="C19" s="43"/>
      <c r="D19" s="43"/>
      <c r="E19" s="44"/>
      <c r="F19" s="63">
        <v>3.71</v>
      </c>
      <c r="G19" s="64"/>
      <c r="H19" s="107"/>
      <c r="I19" s="61">
        <v>4.3</v>
      </c>
      <c r="J19" s="62"/>
      <c r="K19" s="39">
        <v>95.7</v>
      </c>
      <c r="L19" s="39">
        <v>0</v>
      </c>
    </row>
    <row r="20" spans="1:12" ht="24.95" customHeight="1" thickBot="1" x14ac:dyDescent="0.25">
      <c r="A20" s="54"/>
      <c r="B20" s="48"/>
      <c r="C20" s="49"/>
      <c r="D20" s="49"/>
      <c r="E20" s="50"/>
      <c r="F20" s="65"/>
      <c r="G20" s="66"/>
      <c r="H20" s="108"/>
      <c r="I20" s="3">
        <v>2.9</v>
      </c>
      <c r="J20" s="15">
        <v>1.4</v>
      </c>
      <c r="K20" s="40"/>
      <c r="L20" s="40"/>
    </row>
    <row r="21" spans="1:12" ht="50.1" customHeight="1" thickBot="1" x14ac:dyDescent="0.25">
      <c r="A21" s="1">
        <v>0.66666666666666663</v>
      </c>
      <c r="B21" s="41">
        <v>3.81</v>
      </c>
      <c r="C21" s="41"/>
      <c r="D21" s="41">
        <v>0.88</v>
      </c>
      <c r="E21" s="41"/>
      <c r="F21" s="43"/>
      <c r="G21" s="43"/>
      <c r="H21" s="43"/>
      <c r="I21" s="43"/>
      <c r="J21" s="43"/>
      <c r="K21" s="43"/>
      <c r="L21" s="44"/>
    </row>
    <row r="22" spans="1:12" ht="50.1" customHeight="1" thickBot="1" x14ac:dyDescent="0.25">
      <c r="A22" s="1">
        <v>0.83333333333333337</v>
      </c>
      <c r="B22" s="41">
        <v>3.45</v>
      </c>
      <c r="C22" s="41"/>
      <c r="D22" s="41">
        <v>1.9</v>
      </c>
      <c r="E22" s="41"/>
      <c r="F22" s="46"/>
      <c r="G22" s="46"/>
      <c r="H22" s="46"/>
      <c r="I22" s="46"/>
      <c r="J22" s="46"/>
      <c r="K22" s="46"/>
      <c r="L22" s="47"/>
    </row>
    <row r="23" spans="1:12" ht="50.1" customHeight="1" thickBot="1" x14ac:dyDescent="0.25">
      <c r="A23" s="1">
        <v>1</v>
      </c>
      <c r="B23" s="51">
        <v>3.68</v>
      </c>
      <c r="C23" s="52"/>
      <c r="D23" s="51">
        <v>1.62</v>
      </c>
      <c r="E23" s="52"/>
      <c r="F23" s="46"/>
      <c r="G23" s="46"/>
      <c r="H23" s="46"/>
      <c r="I23" s="46"/>
      <c r="J23" s="46"/>
      <c r="K23" s="46"/>
      <c r="L23" s="47"/>
    </row>
    <row r="24" spans="1:12" ht="50.1" customHeight="1" thickBot="1" x14ac:dyDescent="0.25">
      <c r="A24" s="32">
        <v>0.16666666666666666</v>
      </c>
      <c r="B24" s="109">
        <v>10.89</v>
      </c>
      <c r="C24" s="109"/>
      <c r="D24" s="109">
        <v>3.16</v>
      </c>
      <c r="E24" s="109"/>
      <c r="F24" s="46"/>
      <c r="G24" s="46"/>
      <c r="H24" s="46"/>
      <c r="I24" s="46"/>
      <c r="J24" s="46"/>
      <c r="K24" s="46"/>
      <c r="L24" s="47"/>
    </row>
    <row r="25" spans="1:12" ht="50.1" customHeight="1" thickBot="1" x14ac:dyDescent="0.25">
      <c r="A25" s="33">
        <v>0.22916666666666666</v>
      </c>
      <c r="B25" s="41">
        <v>4.12</v>
      </c>
      <c r="C25" s="41"/>
      <c r="D25" s="41"/>
      <c r="E25" s="41"/>
      <c r="F25" s="49"/>
      <c r="G25" s="49"/>
      <c r="H25" s="49"/>
      <c r="I25" s="49"/>
      <c r="J25" s="49"/>
      <c r="K25" s="49"/>
      <c r="L25" s="50"/>
    </row>
  </sheetData>
  <mergeCells count="70"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17:K18"/>
    <mergeCell ref="L17:L18"/>
    <mergeCell ref="A15:A16"/>
    <mergeCell ref="B15:C16"/>
    <mergeCell ref="D15:E16"/>
    <mergeCell ref="F15:H16"/>
    <mergeCell ref="I15:J15"/>
    <mergeCell ref="K15:K16"/>
    <mergeCell ref="A17:A18"/>
    <mergeCell ref="B17:C18"/>
    <mergeCell ref="D17:E18"/>
    <mergeCell ref="F17:G18"/>
    <mergeCell ref="I17:J17"/>
    <mergeCell ref="F21:L25"/>
    <mergeCell ref="B25:C25"/>
    <mergeCell ref="D25:E25"/>
    <mergeCell ref="B19:E20"/>
    <mergeCell ref="F19:H20"/>
    <mergeCell ref="I19:J19"/>
    <mergeCell ref="K19:K20"/>
    <mergeCell ref="B21:C21"/>
    <mergeCell ref="D21:E21"/>
    <mergeCell ref="B22:C22"/>
    <mergeCell ref="D22:E22"/>
    <mergeCell ref="B23:C23"/>
    <mergeCell ref="D23:E23"/>
    <mergeCell ref="B24:C24"/>
    <mergeCell ref="D24:E24"/>
    <mergeCell ref="L19:L20"/>
  </mergeCells>
  <conditionalFormatting sqref="D9">
    <cfRule type="cellIs" dxfId="602" priority="25" operator="greaterThan">
      <formula>7</formula>
    </cfRule>
  </conditionalFormatting>
  <conditionalFormatting sqref="F9">
    <cfRule type="cellIs" dxfId="601" priority="24" operator="greaterThan">
      <formula>20</formula>
    </cfRule>
  </conditionalFormatting>
  <conditionalFormatting sqref="H9:J10">
    <cfRule type="cellIs" dxfId="600" priority="23" operator="lessThan">
      <formula>80</formula>
    </cfRule>
  </conditionalFormatting>
  <conditionalFormatting sqref="K9:L10">
    <cfRule type="cellIs" dxfId="599" priority="22" operator="greaterThan">
      <formula>0</formula>
    </cfRule>
  </conditionalFormatting>
  <conditionalFormatting sqref="B24:E24 B23 D23 B22:E22 B21:F21 B15 B19 D13 B13 D25">
    <cfRule type="cellIs" dxfId="598" priority="21" operator="greaterThan">
      <formula>7</formula>
    </cfRule>
  </conditionalFormatting>
  <conditionalFormatting sqref="I15 I13">
    <cfRule type="cellIs" dxfId="597" priority="20" operator="greaterThan">
      <formula>20</formula>
    </cfRule>
  </conditionalFormatting>
  <conditionalFormatting sqref="K15 K13">
    <cfRule type="cellIs" dxfId="596" priority="19" stopIfTrue="1" operator="lessThan">
      <formula>80</formula>
    </cfRule>
  </conditionalFormatting>
  <conditionalFormatting sqref="L15 L13">
    <cfRule type="cellIs" dxfId="595" priority="18" operator="greaterThan">
      <formula>0</formula>
    </cfRule>
  </conditionalFormatting>
  <conditionalFormatting sqref="F15 F19 F13">
    <cfRule type="cellIs" dxfId="594" priority="17" stopIfTrue="1" operator="greaterThan">
      <formula>10</formula>
    </cfRule>
  </conditionalFormatting>
  <conditionalFormatting sqref="K19">
    <cfRule type="cellIs" dxfId="593" priority="16" stopIfTrue="1" operator="lessThan">
      <formula>80</formula>
    </cfRule>
  </conditionalFormatting>
  <conditionalFormatting sqref="I14:J14">
    <cfRule type="cellIs" dxfId="592" priority="15" operator="greaterThan">
      <formula>20</formula>
    </cfRule>
  </conditionalFormatting>
  <conditionalFormatting sqref="J16">
    <cfRule type="cellIs" dxfId="591" priority="14" operator="greaterThan">
      <formula>20</formula>
    </cfRule>
  </conditionalFormatting>
  <conditionalFormatting sqref="I16:I17">
    <cfRule type="cellIs" dxfId="590" priority="13" operator="greaterThan">
      <formula>20</formula>
    </cfRule>
  </conditionalFormatting>
  <conditionalFormatting sqref="I18">
    <cfRule type="cellIs" dxfId="589" priority="12" operator="greaterThan">
      <formula>20</formula>
    </cfRule>
  </conditionalFormatting>
  <conditionalFormatting sqref="I19">
    <cfRule type="cellIs" dxfId="588" priority="11" operator="greaterThan">
      <formula>20</formula>
    </cfRule>
  </conditionalFormatting>
  <conditionalFormatting sqref="I20">
    <cfRule type="cellIs" dxfId="587" priority="10" operator="greaterThan">
      <formula>20</formula>
    </cfRule>
  </conditionalFormatting>
  <conditionalFormatting sqref="J20">
    <cfRule type="cellIs" dxfId="586" priority="9" operator="greaterThan">
      <formula>20</formula>
    </cfRule>
  </conditionalFormatting>
  <conditionalFormatting sqref="D15">
    <cfRule type="cellIs" dxfId="585" priority="8" operator="greaterThan">
      <formula>7</formula>
    </cfRule>
  </conditionalFormatting>
  <conditionalFormatting sqref="D17">
    <cfRule type="cellIs" dxfId="584" priority="7" operator="greaterThan">
      <formula>7</formula>
    </cfRule>
  </conditionalFormatting>
  <conditionalFormatting sqref="B17">
    <cfRule type="cellIs" dxfId="583" priority="6" operator="greaterThan">
      <formula>7</formula>
    </cfRule>
  </conditionalFormatting>
  <conditionalFormatting sqref="K17">
    <cfRule type="cellIs" dxfId="582" priority="5" stopIfTrue="1" operator="lessThan">
      <formula>80</formula>
    </cfRule>
  </conditionalFormatting>
  <conditionalFormatting sqref="L17">
    <cfRule type="cellIs" dxfId="581" priority="4" operator="greaterThan">
      <formula>0</formula>
    </cfRule>
  </conditionalFormatting>
  <conditionalFormatting sqref="L19">
    <cfRule type="cellIs" dxfId="580" priority="3" operator="greaterThan">
      <formula>0</formula>
    </cfRule>
  </conditionalFormatting>
  <conditionalFormatting sqref="F17">
    <cfRule type="cellIs" dxfId="579" priority="2" stopIfTrue="1" operator="greaterThan">
      <formula>10</formula>
    </cfRule>
  </conditionalFormatting>
  <conditionalFormatting sqref="B25:C25">
    <cfRule type="cellIs" dxfId="578" priority="1" operator="greaterThan">
      <formula>7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view="pageBreakPreview" topLeftCell="A4" zoomScale="90" zoomScaleNormal="100" zoomScaleSheetLayoutView="90" zoomScalePageLayoutView="80" workbookViewId="0">
      <selection activeCell="D17" sqref="D17:E18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100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2"/>
    </row>
    <row r="2" spans="1:12" ht="40.5" customHeight="1" x14ac:dyDescent="0.2">
      <c r="A2" s="103" t="s">
        <v>25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5"/>
    </row>
    <row r="3" spans="1:12" ht="40.5" customHeight="1" x14ac:dyDescent="0.2">
      <c r="A3" s="106" t="s">
        <v>24</v>
      </c>
      <c r="B3" s="106"/>
      <c r="C3" s="106" t="s">
        <v>23</v>
      </c>
      <c r="D3" s="106"/>
      <c r="E3" s="106" t="s">
        <v>22</v>
      </c>
      <c r="F3" s="106"/>
      <c r="G3" s="106"/>
      <c r="H3" s="106" t="s">
        <v>21</v>
      </c>
      <c r="I3" s="106"/>
      <c r="J3" s="106"/>
      <c r="K3" s="106" t="s">
        <v>20</v>
      </c>
      <c r="L3" s="106"/>
    </row>
    <row r="4" spans="1:12" ht="40.5" customHeight="1" x14ac:dyDescent="0.2">
      <c r="A4" s="91">
        <v>48527531</v>
      </c>
      <c r="B4" s="91"/>
      <c r="C4" s="91"/>
      <c r="D4" s="91"/>
      <c r="E4" s="91" t="s">
        <v>34</v>
      </c>
      <c r="F4" s="91"/>
      <c r="G4" s="91"/>
      <c r="H4" s="91" t="s">
        <v>19</v>
      </c>
      <c r="I4" s="91"/>
      <c r="J4" s="91"/>
      <c r="K4" s="92" t="s">
        <v>18</v>
      </c>
      <c r="L4" s="92"/>
    </row>
    <row r="5" spans="1:12" ht="40.5" customHeight="1" thickBot="1" x14ac:dyDescent="0.25">
      <c r="A5" s="97" t="s">
        <v>17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67" t="s">
        <v>16</v>
      </c>
      <c r="B7" s="93" t="s">
        <v>15</v>
      </c>
      <c r="C7" s="94"/>
      <c r="D7" s="87" t="s">
        <v>14</v>
      </c>
      <c r="E7" s="87"/>
      <c r="F7" s="89" t="s">
        <v>13</v>
      </c>
      <c r="G7" s="90"/>
      <c r="H7" s="87" t="s">
        <v>12</v>
      </c>
      <c r="I7" s="87"/>
      <c r="J7" s="87"/>
      <c r="K7" s="69" t="s">
        <v>11</v>
      </c>
      <c r="L7" s="70"/>
    </row>
    <row r="8" spans="1:12" ht="24.95" customHeight="1" thickBot="1" x14ac:dyDescent="0.25">
      <c r="A8" s="68"/>
      <c r="B8" s="95"/>
      <c r="C8" s="96"/>
      <c r="D8" s="88"/>
      <c r="E8" s="88"/>
      <c r="F8" s="5" t="s">
        <v>10</v>
      </c>
      <c r="G8" s="5" t="s">
        <v>9</v>
      </c>
      <c r="H8" s="88"/>
      <c r="I8" s="88"/>
      <c r="J8" s="88"/>
      <c r="K8" s="71"/>
      <c r="L8" s="72"/>
    </row>
    <row r="9" spans="1:12" ht="24.95" customHeight="1" thickBot="1" x14ac:dyDescent="0.25">
      <c r="A9" s="73">
        <v>661.1</v>
      </c>
      <c r="B9" s="75">
        <v>25</v>
      </c>
      <c r="C9" s="76"/>
      <c r="D9" s="42">
        <f>AVERAGE(B13:E25)</f>
        <v>4.6761538461538459</v>
      </c>
      <c r="E9" s="44"/>
      <c r="F9" s="61">
        <f>AVERAGE(I13,I15,I17,I19)</f>
        <v>9.8333333333333339</v>
      </c>
      <c r="G9" s="62"/>
      <c r="H9" s="79">
        <f>AVERAGE(K13,K15,K17,K19)</f>
        <v>90.166666666666671</v>
      </c>
      <c r="I9" s="80"/>
      <c r="J9" s="81"/>
      <c r="K9" s="79">
        <f>AVERAGE(L13,L15,L17,L19)</f>
        <v>0</v>
      </c>
      <c r="L9" s="81"/>
    </row>
    <row r="10" spans="1:12" ht="24.95" customHeight="1" thickBot="1" x14ac:dyDescent="0.25">
      <c r="A10" s="74"/>
      <c r="B10" s="77"/>
      <c r="C10" s="78"/>
      <c r="D10" s="48"/>
      <c r="E10" s="50"/>
      <c r="F10" s="3">
        <f>AVERAGE(I14,I16,I18,I20)</f>
        <v>7.2</v>
      </c>
      <c r="G10" s="3">
        <f>AVERAGE(J14,J16,J18,J20)</f>
        <v>2.6333333333333333</v>
      </c>
      <c r="H10" s="82"/>
      <c r="I10" s="83"/>
      <c r="J10" s="84"/>
      <c r="K10" s="82"/>
      <c r="L10" s="84"/>
    </row>
    <row r="11" spans="1:12" ht="24.95" customHeight="1" thickBot="1" x14ac:dyDescent="0.25">
      <c r="A11" s="67" t="s">
        <v>8</v>
      </c>
      <c r="B11" s="69" t="s">
        <v>7</v>
      </c>
      <c r="C11" s="70"/>
      <c r="D11" s="69" t="s">
        <v>6</v>
      </c>
      <c r="E11" s="70"/>
      <c r="F11" s="69" t="s">
        <v>5</v>
      </c>
      <c r="G11" s="87"/>
      <c r="H11" s="70"/>
      <c r="I11" s="89" t="s">
        <v>4</v>
      </c>
      <c r="J11" s="90"/>
      <c r="K11" s="85" t="s">
        <v>3</v>
      </c>
      <c r="L11" s="70" t="s">
        <v>2</v>
      </c>
    </row>
    <row r="12" spans="1:12" ht="24.95" customHeight="1" thickBot="1" x14ac:dyDescent="0.25">
      <c r="A12" s="68"/>
      <c r="B12" s="71"/>
      <c r="C12" s="72"/>
      <c r="D12" s="71"/>
      <c r="E12" s="72"/>
      <c r="F12" s="71"/>
      <c r="G12" s="88"/>
      <c r="H12" s="72"/>
      <c r="I12" s="5" t="s">
        <v>1</v>
      </c>
      <c r="J12" s="14" t="s">
        <v>0</v>
      </c>
      <c r="K12" s="86"/>
      <c r="L12" s="72"/>
    </row>
    <row r="13" spans="1:12" ht="24.95" customHeight="1" thickBot="1" x14ac:dyDescent="0.25">
      <c r="A13" s="53">
        <v>0.33333333333333331</v>
      </c>
      <c r="B13" s="42">
        <v>6.67</v>
      </c>
      <c r="C13" s="44"/>
      <c r="D13" s="42">
        <v>1.46</v>
      </c>
      <c r="E13" s="44"/>
      <c r="F13" s="63">
        <v>5.74</v>
      </c>
      <c r="G13" s="64"/>
      <c r="H13" s="107"/>
      <c r="I13" s="61">
        <v>5.2</v>
      </c>
      <c r="J13" s="62"/>
      <c r="K13" s="39">
        <v>94.8</v>
      </c>
      <c r="L13" s="39">
        <v>0</v>
      </c>
    </row>
    <row r="14" spans="1:12" ht="24.95" customHeight="1" thickBot="1" x14ac:dyDescent="0.25">
      <c r="A14" s="54"/>
      <c r="B14" s="48"/>
      <c r="C14" s="50"/>
      <c r="D14" s="48"/>
      <c r="E14" s="50"/>
      <c r="F14" s="65"/>
      <c r="G14" s="66"/>
      <c r="H14" s="108"/>
      <c r="I14" s="3">
        <v>3.1</v>
      </c>
      <c r="J14" s="15">
        <v>2.1</v>
      </c>
      <c r="K14" s="40"/>
      <c r="L14" s="40"/>
    </row>
    <row r="15" spans="1:12" ht="24.95" customHeight="1" thickBot="1" x14ac:dyDescent="0.25">
      <c r="A15" s="53">
        <v>0.41666666666666669</v>
      </c>
      <c r="B15" s="42"/>
      <c r="C15" s="44"/>
      <c r="D15" s="42"/>
      <c r="E15" s="44"/>
      <c r="F15" s="63">
        <v>14.57</v>
      </c>
      <c r="G15" s="64"/>
      <c r="H15" s="107"/>
      <c r="I15" s="61">
        <v>20.7</v>
      </c>
      <c r="J15" s="62"/>
      <c r="K15" s="39">
        <v>79.3</v>
      </c>
      <c r="L15" s="39">
        <v>0</v>
      </c>
    </row>
    <row r="16" spans="1:12" ht="24.95" customHeight="1" thickBot="1" x14ac:dyDescent="0.25">
      <c r="A16" s="54"/>
      <c r="B16" s="48"/>
      <c r="C16" s="50"/>
      <c r="D16" s="48"/>
      <c r="E16" s="50"/>
      <c r="F16" s="65"/>
      <c r="G16" s="66"/>
      <c r="H16" s="108"/>
      <c r="I16" s="3">
        <v>16.3</v>
      </c>
      <c r="J16" s="15">
        <v>4.4000000000000004</v>
      </c>
      <c r="K16" s="40"/>
      <c r="L16" s="40"/>
    </row>
    <row r="17" spans="1:12" ht="24.95" customHeight="1" thickBot="1" x14ac:dyDescent="0.25">
      <c r="A17" s="53">
        <v>0.5</v>
      </c>
      <c r="B17" s="42">
        <v>5.43</v>
      </c>
      <c r="C17" s="44"/>
      <c r="D17" s="42">
        <v>2.96</v>
      </c>
      <c r="E17" s="44"/>
      <c r="F17" s="63"/>
      <c r="G17" s="64"/>
      <c r="H17" s="12"/>
      <c r="I17" s="61"/>
      <c r="J17" s="62"/>
      <c r="K17" s="39"/>
      <c r="L17" s="39"/>
    </row>
    <row r="18" spans="1:12" ht="24.95" customHeight="1" thickBot="1" x14ac:dyDescent="0.25">
      <c r="A18" s="54"/>
      <c r="B18" s="48"/>
      <c r="C18" s="50"/>
      <c r="D18" s="48"/>
      <c r="E18" s="50"/>
      <c r="F18" s="65"/>
      <c r="G18" s="66"/>
      <c r="H18" s="10"/>
      <c r="I18" s="3"/>
      <c r="J18" s="13"/>
      <c r="K18" s="40"/>
      <c r="L18" s="40"/>
    </row>
    <row r="19" spans="1:12" ht="24.95" customHeight="1" thickBot="1" x14ac:dyDescent="0.25">
      <c r="A19" s="53">
        <v>0.58333333333333337</v>
      </c>
      <c r="B19" s="42"/>
      <c r="C19" s="43"/>
      <c r="D19" s="43"/>
      <c r="E19" s="44"/>
      <c r="F19" s="63">
        <v>8.33</v>
      </c>
      <c r="G19" s="64"/>
      <c r="H19" s="107"/>
      <c r="I19" s="61">
        <v>3.6</v>
      </c>
      <c r="J19" s="62"/>
      <c r="K19" s="39">
        <v>96.4</v>
      </c>
      <c r="L19" s="39">
        <v>0</v>
      </c>
    </row>
    <row r="20" spans="1:12" ht="24.95" customHeight="1" thickBot="1" x14ac:dyDescent="0.25">
      <c r="A20" s="54"/>
      <c r="B20" s="48"/>
      <c r="C20" s="49"/>
      <c r="D20" s="49"/>
      <c r="E20" s="50"/>
      <c r="F20" s="65"/>
      <c r="G20" s="66"/>
      <c r="H20" s="108"/>
      <c r="I20" s="3">
        <v>2.2000000000000002</v>
      </c>
      <c r="J20" s="15">
        <v>1.4</v>
      </c>
      <c r="K20" s="40"/>
      <c r="L20" s="40"/>
    </row>
    <row r="21" spans="1:12" ht="50.1" customHeight="1" thickBot="1" x14ac:dyDescent="0.25">
      <c r="A21" s="1">
        <v>0.66666666666666663</v>
      </c>
      <c r="B21" s="41">
        <v>5.2</v>
      </c>
      <c r="C21" s="41"/>
      <c r="D21" s="41">
        <v>1.64</v>
      </c>
      <c r="E21" s="41"/>
      <c r="F21" s="42"/>
      <c r="G21" s="43"/>
      <c r="H21" s="43"/>
      <c r="I21" s="43"/>
      <c r="J21" s="43"/>
      <c r="K21" s="43"/>
      <c r="L21" s="44"/>
    </row>
    <row r="22" spans="1:12" ht="50.1" customHeight="1" thickBot="1" x14ac:dyDescent="0.25">
      <c r="A22" s="1">
        <v>0.83333333333333337</v>
      </c>
      <c r="B22" s="41">
        <v>7.8</v>
      </c>
      <c r="C22" s="41"/>
      <c r="D22" s="41">
        <v>4.33</v>
      </c>
      <c r="E22" s="41"/>
      <c r="F22" s="45"/>
      <c r="G22" s="46"/>
      <c r="H22" s="46"/>
      <c r="I22" s="46"/>
      <c r="J22" s="46"/>
      <c r="K22" s="46"/>
      <c r="L22" s="47"/>
    </row>
    <row r="23" spans="1:12" ht="50.1" customHeight="1" thickBot="1" x14ac:dyDescent="0.25">
      <c r="A23" s="1">
        <v>0.875</v>
      </c>
      <c r="B23" s="51">
        <v>9.32</v>
      </c>
      <c r="C23" s="52"/>
      <c r="D23" s="51"/>
      <c r="E23" s="52"/>
      <c r="F23" s="45"/>
      <c r="G23" s="46"/>
      <c r="H23" s="46"/>
      <c r="I23" s="46"/>
      <c r="J23" s="46"/>
      <c r="K23" s="46"/>
      <c r="L23" s="47"/>
    </row>
    <row r="24" spans="1:12" ht="50.1" customHeight="1" thickBot="1" x14ac:dyDescent="0.25">
      <c r="A24" s="1">
        <v>1</v>
      </c>
      <c r="B24" s="51">
        <v>4.83</v>
      </c>
      <c r="C24" s="52"/>
      <c r="D24" s="51">
        <v>5.72</v>
      </c>
      <c r="E24" s="52"/>
      <c r="F24" s="45"/>
      <c r="G24" s="46"/>
      <c r="H24" s="46"/>
      <c r="I24" s="46"/>
      <c r="J24" s="46"/>
      <c r="K24" s="46"/>
      <c r="L24" s="47"/>
    </row>
    <row r="25" spans="1:12" ht="50.1" customHeight="1" thickBot="1" x14ac:dyDescent="0.25">
      <c r="A25" s="1">
        <v>0.16666666666666666</v>
      </c>
      <c r="B25" s="41">
        <v>4.2699999999999996</v>
      </c>
      <c r="C25" s="41"/>
      <c r="D25" s="41">
        <v>1.1599999999999999</v>
      </c>
      <c r="E25" s="41"/>
      <c r="F25" s="48"/>
      <c r="G25" s="49"/>
      <c r="H25" s="49"/>
      <c r="I25" s="49"/>
      <c r="J25" s="49"/>
      <c r="K25" s="49"/>
      <c r="L25" s="50"/>
    </row>
  </sheetData>
  <mergeCells count="70"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17:K18"/>
    <mergeCell ref="L17:L18"/>
    <mergeCell ref="A15:A16"/>
    <mergeCell ref="B15:C16"/>
    <mergeCell ref="D15:E16"/>
    <mergeCell ref="F15:H16"/>
    <mergeCell ref="I15:J15"/>
    <mergeCell ref="K15:K16"/>
    <mergeCell ref="A17:A18"/>
    <mergeCell ref="B17:C18"/>
    <mergeCell ref="D17:E18"/>
    <mergeCell ref="F17:G18"/>
    <mergeCell ref="I17:J17"/>
    <mergeCell ref="B19:E20"/>
    <mergeCell ref="F19:H20"/>
    <mergeCell ref="I19:J19"/>
    <mergeCell ref="K19:K20"/>
    <mergeCell ref="B21:C21"/>
    <mergeCell ref="D21:E21"/>
    <mergeCell ref="F21:L25"/>
    <mergeCell ref="B22:C22"/>
    <mergeCell ref="D22:E22"/>
    <mergeCell ref="B24:C24"/>
    <mergeCell ref="D24:E24"/>
    <mergeCell ref="B25:C25"/>
    <mergeCell ref="D25:E25"/>
    <mergeCell ref="L19:L20"/>
    <mergeCell ref="B23:C23"/>
    <mergeCell ref="D23:E23"/>
  </mergeCells>
  <conditionalFormatting sqref="D9">
    <cfRule type="cellIs" dxfId="577" priority="24" operator="greaterThan">
      <formula>7</formula>
    </cfRule>
  </conditionalFormatting>
  <conditionalFormatting sqref="F9">
    <cfRule type="cellIs" dxfId="576" priority="23" operator="greaterThan">
      <formula>20</formula>
    </cfRule>
  </conditionalFormatting>
  <conditionalFormatting sqref="H9:J10">
    <cfRule type="cellIs" dxfId="575" priority="22" operator="lessThan">
      <formula>80</formula>
    </cfRule>
  </conditionalFormatting>
  <conditionalFormatting sqref="K9:L10">
    <cfRule type="cellIs" dxfId="574" priority="21" operator="greaterThan">
      <formula>0</formula>
    </cfRule>
  </conditionalFormatting>
  <conditionalFormatting sqref="B25:E25 B22:E22 B21:F21 B15 B19 D13 B13 B23:B24 D23:D24">
    <cfRule type="cellIs" dxfId="573" priority="20" operator="greaterThan">
      <formula>7</formula>
    </cfRule>
  </conditionalFormatting>
  <conditionalFormatting sqref="I15 I13">
    <cfRule type="cellIs" dxfId="572" priority="19" operator="greaterThan">
      <formula>20</formula>
    </cfRule>
  </conditionalFormatting>
  <conditionalFormatting sqref="K15 K13">
    <cfRule type="cellIs" dxfId="571" priority="18" stopIfTrue="1" operator="lessThan">
      <formula>80</formula>
    </cfRule>
  </conditionalFormatting>
  <conditionalFormatting sqref="L15 L13">
    <cfRule type="cellIs" dxfId="570" priority="17" operator="greaterThan">
      <formula>0</formula>
    </cfRule>
  </conditionalFormatting>
  <conditionalFormatting sqref="F15 F19 F13">
    <cfRule type="cellIs" dxfId="569" priority="16" stopIfTrue="1" operator="greaterThan">
      <formula>10</formula>
    </cfRule>
  </conditionalFormatting>
  <conditionalFormatting sqref="K19">
    <cfRule type="cellIs" dxfId="568" priority="15" stopIfTrue="1" operator="lessThan">
      <formula>80</formula>
    </cfRule>
  </conditionalFormatting>
  <conditionalFormatting sqref="I14:J14">
    <cfRule type="cellIs" dxfId="567" priority="14" operator="greaterThan">
      <formula>20</formula>
    </cfRule>
  </conditionalFormatting>
  <conditionalFormatting sqref="J16">
    <cfRule type="cellIs" dxfId="566" priority="13" operator="greaterThan">
      <formula>20</formula>
    </cfRule>
  </conditionalFormatting>
  <conditionalFormatting sqref="I16:I17">
    <cfRule type="cellIs" dxfId="565" priority="12" operator="greaterThan">
      <formula>20</formula>
    </cfRule>
  </conditionalFormatting>
  <conditionalFormatting sqref="I18">
    <cfRule type="cellIs" dxfId="564" priority="11" operator="greaterThan">
      <formula>20</formula>
    </cfRule>
  </conditionalFormatting>
  <conditionalFormatting sqref="I19">
    <cfRule type="cellIs" dxfId="563" priority="10" operator="greaterThan">
      <formula>20</formula>
    </cfRule>
  </conditionalFormatting>
  <conditionalFormatting sqref="I20">
    <cfRule type="cellIs" dxfId="562" priority="9" operator="greaterThan">
      <formula>20</formula>
    </cfRule>
  </conditionalFormatting>
  <conditionalFormatting sqref="J20">
    <cfRule type="cellIs" dxfId="561" priority="8" operator="greaterThan">
      <formula>20</formula>
    </cfRule>
  </conditionalFormatting>
  <conditionalFormatting sqref="D15">
    <cfRule type="cellIs" dxfId="560" priority="7" operator="greaterThan">
      <formula>7</formula>
    </cfRule>
  </conditionalFormatting>
  <conditionalFormatting sqref="D17">
    <cfRule type="cellIs" dxfId="559" priority="6" operator="greaterThan">
      <formula>7</formula>
    </cfRule>
  </conditionalFormatting>
  <conditionalFormatting sqref="B17">
    <cfRule type="cellIs" dxfId="558" priority="5" operator="greaterThan">
      <formula>7</formula>
    </cfRule>
  </conditionalFormatting>
  <conditionalFormatting sqref="K17">
    <cfRule type="cellIs" dxfId="557" priority="4" stopIfTrue="1" operator="lessThan">
      <formula>80</formula>
    </cfRule>
  </conditionalFormatting>
  <conditionalFormatting sqref="L17">
    <cfRule type="cellIs" dxfId="556" priority="3" operator="greaterThan">
      <formula>0</formula>
    </cfRule>
  </conditionalFormatting>
  <conditionalFormatting sqref="L19">
    <cfRule type="cellIs" dxfId="555" priority="2" operator="greaterThan">
      <formula>0</formula>
    </cfRule>
  </conditionalFormatting>
  <conditionalFormatting sqref="F17">
    <cfRule type="cellIs" dxfId="554" priority="1" stopIfTrue="1" operator="greaterThan">
      <formula>10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topLeftCell="A5" zoomScale="80" zoomScaleNormal="100" zoomScaleSheetLayoutView="80" zoomScalePageLayoutView="80" workbookViewId="0">
      <selection activeCell="H9" sqref="H9:J10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100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2"/>
    </row>
    <row r="2" spans="1:12" ht="40.5" customHeight="1" x14ac:dyDescent="0.2">
      <c r="A2" s="103" t="s">
        <v>25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5"/>
    </row>
    <row r="3" spans="1:12" ht="40.5" customHeight="1" x14ac:dyDescent="0.2">
      <c r="A3" s="106" t="s">
        <v>24</v>
      </c>
      <c r="B3" s="106"/>
      <c r="C3" s="106" t="s">
        <v>23</v>
      </c>
      <c r="D3" s="106"/>
      <c r="E3" s="106" t="s">
        <v>22</v>
      </c>
      <c r="F3" s="106"/>
      <c r="G3" s="106"/>
      <c r="H3" s="106" t="s">
        <v>21</v>
      </c>
      <c r="I3" s="106"/>
      <c r="J3" s="106"/>
      <c r="K3" s="106" t="s">
        <v>20</v>
      </c>
      <c r="L3" s="106"/>
    </row>
    <row r="4" spans="1:12" ht="40.5" customHeight="1" x14ac:dyDescent="0.2">
      <c r="A4" s="91">
        <v>48527531</v>
      </c>
      <c r="B4" s="91"/>
      <c r="C4" s="91"/>
      <c r="D4" s="91"/>
      <c r="E4" s="91" t="s">
        <v>35</v>
      </c>
      <c r="F4" s="91"/>
      <c r="G4" s="91"/>
      <c r="H4" s="91" t="s">
        <v>19</v>
      </c>
      <c r="I4" s="91"/>
      <c r="J4" s="91"/>
      <c r="K4" s="92" t="s">
        <v>18</v>
      </c>
      <c r="L4" s="92"/>
    </row>
    <row r="5" spans="1:12" ht="40.5" customHeight="1" thickBot="1" x14ac:dyDescent="0.25">
      <c r="A5" s="97" t="s">
        <v>17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67" t="s">
        <v>16</v>
      </c>
      <c r="B7" s="93" t="s">
        <v>15</v>
      </c>
      <c r="C7" s="94"/>
      <c r="D7" s="87" t="s">
        <v>14</v>
      </c>
      <c r="E7" s="87"/>
      <c r="F7" s="89" t="s">
        <v>13</v>
      </c>
      <c r="G7" s="90"/>
      <c r="H7" s="87" t="s">
        <v>12</v>
      </c>
      <c r="I7" s="87"/>
      <c r="J7" s="87"/>
      <c r="K7" s="69" t="s">
        <v>11</v>
      </c>
      <c r="L7" s="70"/>
    </row>
    <row r="8" spans="1:12" ht="24.95" customHeight="1" thickBot="1" x14ac:dyDescent="0.25">
      <c r="A8" s="68"/>
      <c r="B8" s="95"/>
      <c r="C8" s="96"/>
      <c r="D8" s="88"/>
      <c r="E8" s="88"/>
      <c r="F8" s="5" t="s">
        <v>10</v>
      </c>
      <c r="G8" s="5" t="s">
        <v>9</v>
      </c>
      <c r="H8" s="88"/>
      <c r="I8" s="88"/>
      <c r="J8" s="88"/>
      <c r="K8" s="71"/>
      <c r="L8" s="72"/>
    </row>
    <row r="9" spans="1:12" ht="24.95" customHeight="1" thickBot="1" x14ac:dyDescent="0.25">
      <c r="A9" s="73">
        <v>476</v>
      </c>
      <c r="B9" s="75">
        <v>18</v>
      </c>
      <c r="C9" s="76"/>
      <c r="D9" s="42">
        <f>AVERAGE(B13:E24)</f>
        <v>3.2875000000000001</v>
      </c>
      <c r="E9" s="44"/>
      <c r="F9" s="61">
        <v>4.5999999999999996</v>
      </c>
      <c r="G9" s="62"/>
      <c r="H9" s="79">
        <v>95.4</v>
      </c>
      <c r="I9" s="80"/>
      <c r="J9" s="81"/>
      <c r="K9" s="79">
        <f>AVERAGE(L13,L15,L17,L19)</f>
        <v>0</v>
      </c>
      <c r="L9" s="81"/>
    </row>
    <row r="10" spans="1:12" ht="24.95" customHeight="1" thickBot="1" x14ac:dyDescent="0.25">
      <c r="A10" s="74"/>
      <c r="B10" s="77"/>
      <c r="C10" s="78"/>
      <c r="D10" s="48"/>
      <c r="E10" s="50"/>
      <c r="F10" s="3">
        <f>AVERAGE(I14,I16,I18,I20)</f>
        <v>2.6666666666666665</v>
      </c>
      <c r="G10" s="3">
        <f>AVERAGE(J14,J16,J18,J20)</f>
        <v>1.8666666666666665</v>
      </c>
      <c r="H10" s="82"/>
      <c r="I10" s="83"/>
      <c r="J10" s="84"/>
      <c r="K10" s="82"/>
      <c r="L10" s="84"/>
    </row>
    <row r="11" spans="1:12" ht="24.95" customHeight="1" thickBot="1" x14ac:dyDescent="0.25">
      <c r="A11" s="67" t="s">
        <v>8</v>
      </c>
      <c r="B11" s="69" t="s">
        <v>7</v>
      </c>
      <c r="C11" s="70"/>
      <c r="D11" s="69" t="s">
        <v>6</v>
      </c>
      <c r="E11" s="70"/>
      <c r="F11" s="69" t="s">
        <v>5</v>
      </c>
      <c r="G11" s="87"/>
      <c r="H11" s="70"/>
      <c r="I11" s="89" t="s">
        <v>4</v>
      </c>
      <c r="J11" s="90"/>
      <c r="K11" s="85" t="s">
        <v>3</v>
      </c>
      <c r="L11" s="70" t="s">
        <v>2</v>
      </c>
    </row>
    <row r="12" spans="1:12" ht="24.95" customHeight="1" thickBot="1" x14ac:dyDescent="0.25">
      <c r="A12" s="68"/>
      <c r="B12" s="71"/>
      <c r="C12" s="72"/>
      <c r="D12" s="71"/>
      <c r="E12" s="72"/>
      <c r="F12" s="71"/>
      <c r="G12" s="88"/>
      <c r="H12" s="72"/>
      <c r="I12" s="5" t="s">
        <v>1</v>
      </c>
      <c r="J12" s="18" t="s">
        <v>0</v>
      </c>
      <c r="K12" s="86"/>
      <c r="L12" s="72"/>
    </row>
    <row r="13" spans="1:12" ht="24.95" customHeight="1" thickBot="1" x14ac:dyDescent="0.25">
      <c r="A13" s="53">
        <v>0.33333333333333331</v>
      </c>
      <c r="B13" s="42">
        <v>4.78</v>
      </c>
      <c r="C13" s="44"/>
      <c r="D13" s="42">
        <v>1.34</v>
      </c>
      <c r="E13" s="44"/>
      <c r="F13" s="63">
        <v>9.6300000000000008</v>
      </c>
      <c r="G13" s="64"/>
      <c r="H13" s="107"/>
      <c r="I13" s="61">
        <v>4.0999999999999996</v>
      </c>
      <c r="J13" s="62"/>
      <c r="K13" s="39">
        <v>95.9</v>
      </c>
      <c r="L13" s="39">
        <v>0</v>
      </c>
    </row>
    <row r="14" spans="1:12" ht="24.95" customHeight="1" thickBot="1" x14ac:dyDescent="0.25">
      <c r="A14" s="54"/>
      <c r="B14" s="48"/>
      <c r="C14" s="50"/>
      <c r="D14" s="48"/>
      <c r="E14" s="50"/>
      <c r="F14" s="65"/>
      <c r="G14" s="66"/>
      <c r="H14" s="108"/>
      <c r="I14" s="3">
        <v>2.5</v>
      </c>
      <c r="J14" s="19">
        <v>1.6</v>
      </c>
      <c r="K14" s="40"/>
      <c r="L14" s="40"/>
    </row>
    <row r="15" spans="1:12" ht="24.95" customHeight="1" thickBot="1" x14ac:dyDescent="0.25">
      <c r="A15" s="53">
        <v>0.41666666666666669</v>
      </c>
      <c r="B15" s="42"/>
      <c r="C15" s="44"/>
      <c r="D15" s="42"/>
      <c r="E15" s="44"/>
      <c r="F15" s="63">
        <v>8.84</v>
      </c>
      <c r="G15" s="64"/>
      <c r="H15" s="107"/>
      <c r="I15" s="61">
        <v>5.9</v>
      </c>
      <c r="J15" s="62"/>
      <c r="K15" s="39">
        <v>94.1</v>
      </c>
      <c r="L15" s="39">
        <v>0</v>
      </c>
    </row>
    <row r="16" spans="1:12" ht="24.95" customHeight="1" thickBot="1" x14ac:dyDescent="0.25">
      <c r="A16" s="54"/>
      <c r="B16" s="48"/>
      <c r="C16" s="50"/>
      <c r="D16" s="48"/>
      <c r="E16" s="50"/>
      <c r="F16" s="65"/>
      <c r="G16" s="66"/>
      <c r="H16" s="108"/>
      <c r="I16" s="3">
        <v>3.5</v>
      </c>
      <c r="J16" s="19">
        <v>2.4</v>
      </c>
      <c r="K16" s="40"/>
      <c r="L16" s="40"/>
    </row>
    <row r="17" spans="1:12" ht="24.95" customHeight="1" thickBot="1" x14ac:dyDescent="0.25">
      <c r="A17" s="53">
        <v>0.5</v>
      </c>
      <c r="B17" s="42">
        <v>4.54</v>
      </c>
      <c r="C17" s="44"/>
      <c r="D17" s="42">
        <v>3.35</v>
      </c>
      <c r="E17" s="44"/>
      <c r="F17" s="63"/>
      <c r="G17" s="64"/>
      <c r="H17" s="16"/>
      <c r="I17" s="61"/>
      <c r="J17" s="62"/>
      <c r="K17" s="39"/>
      <c r="L17" s="39"/>
    </row>
    <row r="18" spans="1:12" ht="24.95" customHeight="1" thickBot="1" x14ac:dyDescent="0.25">
      <c r="A18" s="54"/>
      <c r="B18" s="48"/>
      <c r="C18" s="50"/>
      <c r="D18" s="48"/>
      <c r="E18" s="50"/>
      <c r="F18" s="65"/>
      <c r="G18" s="66"/>
      <c r="H18" s="10"/>
      <c r="I18" s="3"/>
      <c r="J18" s="17"/>
      <c r="K18" s="40"/>
      <c r="L18" s="40"/>
    </row>
    <row r="19" spans="1:12" ht="24.95" customHeight="1" thickBot="1" x14ac:dyDescent="0.25">
      <c r="A19" s="53">
        <v>0.58333333333333337</v>
      </c>
      <c r="B19" s="42"/>
      <c r="C19" s="43"/>
      <c r="D19" s="43"/>
      <c r="E19" s="44"/>
      <c r="F19" s="63">
        <v>9.4</v>
      </c>
      <c r="G19" s="64"/>
      <c r="H19" s="107"/>
      <c r="I19" s="61">
        <v>3.6</v>
      </c>
      <c r="J19" s="62"/>
      <c r="K19" s="39">
        <v>96.4</v>
      </c>
      <c r="L19" s="39">
        <v>0</v>
      </c>
    </row>
    <row r="20" spans="1:12" ht="24.95" customHeight="1" thickBot="1" x14ac:dyDescent="0.25">
      <c r="A20" s="54"/>
      <c r="B20" s="48"/>
      <c r="C20" s="49"/>
      <c r="D20" s="49"/>
      <c r="E20" s="50"/>
      <c r="F20" s="65"/>
      <c r="G20" s="66"/>
      <c r="H20" s="108"/>
      <c r="I20" s="3">
        <v>2</v>
      </c>
      <c r="J20" s="19">
        <v>1.6</v>
      </c>
      <c r="K20" s="40"/>
      <c r="L20" s="40"/>
    </row>
    <row r="21" spans="1:12" ht="50.1" customHeight="1" thickBot="1" x14ac:dyDescent="0.25">
      <c r="A21" s="1">
        <v>0.66666666666666663</v>
      </c>
      <c r="B21" s="41">
        <v>3.34</v>
      </c>
      <c r="C21" s="41"/>
      <c r="D21" s="41">
        <v>2.82</v>
      </c>
      <c r="E21" s="41"/>
      <c r="F21" s="42"/>
      <c r="G21" s="43"/>
      <c r="H21" s="43"/>
      <c r="I21" s="43"/>
      <c r="J21" s="43"/>
      <c r="K21" s="43"/>
      <c r="L21" s="44"/>
    </row>
    <row r="22" spans="1:12" ht="50.1" customHeight="1" thickBot="1" x14ac:dyDescent="0.25">
      <c r="A22" s="1">
        <v>0.83333333333333337</v>
      </c>
      <c r="B22" s="41">
        <v>1.04</v>
      </c>
      <c r="C22" s="41"/>
      <c r="D22" s="41">
        <v>2.29</v>
      </c>
      <c r="E22" s="41"/>
      <c r="F22" s="45"/>
      <c r="G22" s="46"/>
      <c r="H22" s="46"/>
      <c r="I22" s="46"/>
      <c r="J22" s="46"/>
      <c r="K22" s="46"/>
      <c r="L22" s="47"/>
    </row>
    <row r="23" spans="1:12" ht="50.1" customHeight="1" thickBot="1" x14ac:dyDescent="0.25">
      <c r="A23" s="1">
        <v>1</v>
      </c>
      <c r="B23" s="51">
        <v>6.88</v>
      </c>
      <c r="C23" s="52"/>
      <c r="D23" s="51">
        <v>0.88</v>
      </c>
      <c r="E23" s="52"/>
      <c r="F23" s="45"/>
      <c r="G23" s="46"/>
      <c r="H23" s="46"/>
      <c r="I23" s="46"/>
      <c r="J23" s="46"/>
      <c r="K23" s="46"/>
      <c r="L23" s="47"/>
    </row>
    <row r="24" spans="1:12" ht="50.1" customHeight="1" thickBot="1" x14ac:dyDescent="0.25">
      <c r="A24" s="1">
        <v>0.16666666666666666</v>
      </c>
      <c r="B24" s="41">
        <v>5.0999999999999996</v>
      </c>
      <c r="C24" s="41"/>
      <c r="D24" s="41">
        <v>3.09</v>
      </c>
      <c r="E24" s="41"/>
      <c r="F24" s="48"/>
      <c r="G24" s="49"/>
      <c r="H24" s="49"/>
      <c r="I24" s="49"/>
      <c r="J24" s="49"/>
      <c r="K24" s="49"/>
      <c r="L24" s="50"/>
    </row>
  </sheetData>
  <mergeCells count="68"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17:K18"/>
    <mergeCell ref="L17:L18"/>
    <mergeCell ref="A15:A16"/>
    <mergeCell ref="B15:C16"/>
    <mergeCell ref="D15:E16"/>
    <mergeCell ref="F15:H16"/>
    <mergeCell ref="I15:J15"/>
    <mergeCell ref="K15:K16"/>
    <mergeCell ref="A17:A18"/>
    <mergeCell ref="B17:C18"/>
    <mergeCell ref="D17:E18"/>
    <mergeCell ref="F17:G18"/>
    <mergeCell ref="I17:J17"/>
    <mergeCell ref="B19:E20"/>
    <mergeCell ref="F19:H20"/>
    <mergeCell ref="I19:J19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  <mergeCell ref="L19:L20"/>
  </mergeCells>
  <conditionalFormatting sqref="D9">
    <cfRule type="cellIs" dxfId="553" priority="24" operator="greaterThan">
      <formula>7</formula>
    </cfRule>
  </conditionalFormatting>
  <conditionalFormatting sqref="F9">
    <cfRule type="cellIs" dxfId="552" priority="23" operator="greaterThan">
      <formula>20</formula>
    </cfRule>
  </conditionalFormatting>
  <conditionalFormatting sqref="H9:J10">
    <cfRule type="cellIs" dxfId="551" priority="22" operator="lessThan">
      <formula>80</formula>
    </cfRule>
  </conditionalFormatting>
  <conditionalFormatting sqref="K9:L10">
    <cfRule type="cellIs" dxfId="550" priority="21" operator="greaterThan">
      <formula>0</formula>
    </cfRule>
  </conditionalFormatting>
  <conditionalFormatting sqref="B24:E24 B23 D23 B22:E22 B21:F21 B15 B19 D13 B13">
    <cfRule type="cellIs" dxfId="549" priority="20" operator="greaterThan">
      <formula>7</formula>
    </cfRule>
  </conditionalFormatting>
  <conditionalFormatting sqref="I15 I13">
    <cfRule type="cellIs" dxfId="548" priority="19" operator="greaterThan">
      <formula>20</formula>
    </cfRule>
  </conditionalFormatting>
  <conditionalFormatting sqref="K15 K13">
    <cfRule type="cellIs" dxfId="547" priority="18" stopIfTrue="1" operator="lessThan">
      <formula>80</formula>
    </cfRule>
  </conditionalFormatting>
  <conditionalFormatting sqref="L15 L13">
    <cfRule type="cellIs" dxfId="546" priority="17" operator="greaterThan">
      <formula>0</formula>
    </cfRule>
  </conditionalFormatting>
  <conditionalFormatting sqref="F15 F19 F13">
    <cfRule type="cellIs" dxfId="545" priority="16" stopIfTrue="1" operator="greaterThan">
      <formula>10</formula>
    </cfRule>
  </conditionalFormatting>
  <conditionalFormatting sqref="K19">
    <cfRule type="cellIs" dxfId="544" priority="15" stopIfTrue="1" operator="lessThan">
      <formula>80</formula>
    </cfRule>
  </conditionalFormatting>
  <conditionalFormatting sqref="I14:J14">
    <cfRule type="cellIs" dxfId="543" priority="14" operator="greaterThan">
      <formula>20</formula>
    </cfRule>
  </conditionalFormatting>
  <conditionalFormatting sqref="J16">
    <cfRule type="cellIs" dxfId="542" priority="13" operator="greaterThan">
      <formula>20</formula>
    </cfRule>
  </conditionalFormatting>
  <conditionalFormatting sqref="I16:I17">
    <cfRule type="cellIs" dxfId="541" priority="12" operator="greaterThan">
      <formula>20</formula>
    </cfRule>
  </conditionalFormatting>
  <conditionalFormatting sqref="I18">
    <cfRule type="cellIs" dxfId="540" priority="11" operator="greaterThan">
      <formula>20</formula>
    </cfRule>
  </conditionalFormatting>
  <conditionalFormatting sqref="I19">
    <cfRule type="cellIs" dxfId="539" priority="10" operator="greaterThan">
      <formula>20</formula>
    </cfRule>
  </conditionalFormatting>
  <conditionalFormatting sqref="I20">
    <cfRule type="cellIs" dxfId="538" priority="9" operator="greaterThan">
      <formula>20</formula>
    </cfRule>
  </conditionalFormatting>
  <conditionalFormatting sqref="J20">
    <cfRule type="cellIs" dxfId="537" priority="8" operator="greaterThan">
      <formula>20</formula>
    </cfRule>
  </conditionalFormatting>
  <conditionalFormatting sqref="D15">
    <cfRule type="cellIs" dxfId="536" priority="7" operator="greaterThan">
      <formula>7</formula>
    </cfRule>
  </conditionalFormatting>
  <conditionalFormatting sqref="D17">
    <cfRule type="cellIs" dxfId="535" priority="6" operator="greaterThan">
      <formula>7</formula>
    </cfRule>
  </conditionalFormatting>
  <conditionalFormatting sqref="B17">
    <cfRule type="cellIs" dxfId="534" priority="5" operator="greaterThan">
      <formula>7</formula>
    </cfRule>
  </conditionalFormatting>
  <conditionalFormatting sqref="K17">
    <cfRule type="cellIs" dxfId="533" priority="4" stopIfTrue="1" operator="lessThan">
      <formula>80</formula>
    </cfRule>
  </conditionalFormatting>
  <conditionalFormatting sqref="L17">
    <cfRule type="cellIs" dxfId="532" priority="3" operator="greaterThan">
      <formula>0</formula>
    </cfRule>
  </conditionalFormatting>
  <conditionalFormatting sqref="L19">
    <cfRule type="cellIs" dxfId="531" priority="2" operator="greaterThan">
      <formula>0</formula>
    </cfRule>
  </conditionalFormatting>
  <conditionalFormatting sqref="F17">
    <cfRule type="cellIs" dxfId="530" priority="1" stopIfTrue="1" operator="greaterThan">
      <formula>10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topLeftCell="A6" zoomScale="60" zoomScaleNormal="100" zoomScalePageLayoutView="80" workbookViewId="0">
      <selection activeCell="L17" sqref="L17:L18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100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2"/>
    </row>
    <row r="2" spans="1:12" ht="40.5" customHeight="1" x14ac:dyDescent="0.2">
      <c r="A2" s="103" t="s">
        <v>25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5"/>
    </row>
    <row r="3" spans="1:12" ht="40.5" customHeight="1" x14ac:dyDescent="0.2">
      <c r="A3" s="106" t="s">
        <v>24</v>
      </c>
      <c r="B3" s="106"/>
      <c r="C3" s="106" t="s">
        <v>23</v>
      </c>
      <c r="D3" s="106"/>
      <c r="E3" s="106" t="s">
        <v>22</v>
      </c>
      <c r="F3" s="106"/>
      <c r="G3" s="106"/>
      <c r="H3" s="106" t="s">
        <v>21</v>
      </c>
      <c r="I3" s="106"/>
      <c r="J3" s="106"/>
      <c r="K3" s="106" t="s">
        <v>20</v>
      </c>
      <c r="L3" s="106"/>
    </row>
    <row r="4" spans="1:12" ht="40.5" customHeight="1" x14ac:dyDescent="0.2">
      <c r="A4" s="91">
        <v>48527531</v>
      </c>
      <c r="B4" s="91"/>
      <c r="C4" s="91"/>
      <c r="D4" s="91"/>
      <c r="E4" s="91" t="s">
        <v>36</v>
      </c>
      <c r="F4" s="91"/>
      <c r="G4" s="91"/>
      <c r="H4" s="91" t="s">
        <v>19</v>
      </c>
      <c r="I4" s="91"/>
      <c r="J4" s="91"/>
      <c r="K4" s="92" t="s">
        <v>18</v>
      </c>
      <c r="L4" s="92"/>
    </row>
    <row r="5" spans="1:12" ht="40.5" customHeight="1" thickBot="1" x14ac:dyDescent="0.25">
      <c r="A5" s="97" t="s">
        <v>17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67" t="s">
        <v>16</v>
      </c>
      <c r="B7" s="93" t="s">
        <v>15</v>
      </c>
      <c r="C7" s="94"/>
      <c r="D7" s="87" t="s">
        <v>14</v>
      </c>
      <c r="E7" s="87"/>
      <c r="F7" s="89" t="s">
        <v>13</v>
      </c>
      <c r="G7" s="90"/>
      <c r="H7" s="87" t="s">
        <v>12</v>
      </c>
      <c r="I7" s="87"/>
      <c r="J7" s="87"/>
      <c r="K7" s="69" t="s">
        <v>11</v>
      </c>
      <c r="L7" s="70"/>
    </row>
    <row r="8" spans="1:12" ht="24.95" customHeight="1" thickBot="1" x14ac:dyDescent="0.25">
      <c r="A8" s="68"/>
      <c r="B8" s="95"/>
      <c r="C8" s="96"/>
      <c r="D8" s="88"/>
      <c r="E8" s="88"/>
      <c r="F8" s="5" t="s">
        <v>10</v>
      </c>
      <c r="G8" s="5" t="s">
        <v>9</v>
      </c>
      <c r="H8" s="88"/>
      <c r="I8" s="88"/>
      <c r="J8" s="88"/>
      <c r="K8" s="71"/>
      <c r="L8" s="72"/>
    </row>
    <row r="9" spans="1:12" ht="24.95" customHeight="1" thickBot="1" x14ac:dyDescent="0.25">
      <c r="A9" s="73">
        <v>555</v>
      </c>
      <c r="B9" s="75">
        <v>21</v>
      </c>
      <c r="C9" s="76"/>
      <c r="D9" s="42">
        <f>AVERAGE(B13:E24)</f>
        <v>3.519166666666667</v>
      </c>
      <c r="E9" s="44"/>
      <c r="F9" s="61">
        <f>AVERAGE(I13,I15,I17,I19)</f>
        <v>5.4</v>
      </c>
      <c r="G9" s="62"/>
      <c r="H9" s="79">
        <f>AVERAGE(K13,K15,K17,K19)</f>
        <v>94.6</v>
      </c>
      <c r="I9" s="80"/>
      <c r="J9" s="81"/>
      <c r="K9" s="79">
        <f>AVERAGE(L13,L15,L17,L19)</f>
        <v>0</v>
      </c>
      <c r="L9" s="81"/>
    </row>
    <row r="10" spans="1:12" ht="24.95" customHeight="1" thickBot="1" x14ac:dyDescent="0.25">
      <c r="A10" s="74"/>
      <c r="B10" s="77"/>
      <c r="C10" s="78"/>
      <c r="D10" s="48"/>
      <c r="E10" s="50"/>
      <c r="F10" s="3">
        <f>AVERAGE(I14,I16,I18,I20)</f>
        <v>3.1</v>
      </c>
      <c r="G10" s="3">
        <f>AVERAGE(J14,J16,J18,J20)</f>
        <v>2.31</v>
      </c>
      <c r="H10" s="82"/>
      <c r="I10" s="83"/>
      <c r="J10" s="84"/>
      <c r="K10" s="82"/>
      <c r="L10" s="84"/>
    </row>
    <row r="11" spans="1:12" ht="24.95" customHeight="1" thickBot="1" x14ac:dyDescent="0.25">
      <c r="A11" s="67" t="s">
        <v>8</v>
      </c>
      <c r="B11" s="69" t="s">
        <v>7</v>
      </c>
      <c r="C11" s="70"/>
      <c r="D11" s="69" t="s">
        <v>6</v>
      </c>
      <c r="E11" s="70"/>
      <c r="F11" s="69" t="s">
        <v>5</v>
      </c>
      <c r="G11" s="87"/>
      <c r="H11" s="70"/>
      <c r="I11" s="89" t="s">
        <v>4</v>
      </c>
      <c r="J11" s="90"/>
      <c r="K11" s="85" t="s">
        <v>3</v>
      </c>
      <c r="L11" s="70" t="s">
        <v>2</v>
      </c>
    </row>
    <row r="12" spans="1:12" ht="24.95" customHeight="1" thickBot="1" x14ac:dyDescent="0.25">
      <c r="A12" s="68"/>
      <c r="B12" s="71"/>
      <c r="C12" s="72"/>
      <c r="D12" s="71"/>
      <c r="E12" s="72"/>
      <c r="F12" s="71"/>
      <c r="G12" s="88"/>
      <c r="H12" s="72"/>
      <c r="I12" s="5" t="s">
        <v>1</v>
      </c>
      <c r="J12" s="18" t="s">
        <v>0</v>
      </c>
      <c r="K12" s="86"/>
      <c r="L12" s="72"/>
    </row>
    <row r="13" spans="1:12" ht="24.95" customHeight="1" thickBot="1" x14ac:dyDescent="0.25">
      <c r="A13" s="53">
        <v>0.33333333333333331</v>
      </c>
      <c r="B13" s="42">
        <v>2.5299999999999998</v>
      </c>
      <c r="C13" s="44"/>
      <c r="D13" s="42">
        <v>2.63</v>
      </c>
      <c r="E13" s="44"/>
      <c r="F13" s="63">
        <v>1.98</v>
      </c>
      <c r="G13" s="64"/>
      <c r="H13" s="107"/>
      <c r="I13" s="61">
        <v>5.4</v>
      </c>
      <c r="J13" s="62"/>
      <c r="K13" s="39">
        <v>94.6</v>
      </c>
      <c r="L13" s="39">
        <v>0</v>
      </c>
    </row>
    <row r="14" spans="1:12" ht="24.95" customHeight="1" thickBot="1" x14ac:dyDescent="0.25">
      <c r="A14" s="54"/>
      <c r="B14" s="48"/>
      <c r="C14" s="50"/>
      <c r="D14" s="48"/>
      <c r="E14" s="50"/>
      <c r="F14" s="65"/>
      <c r="G14" s="66"/>
      <c r="H14" s="108"/>
      <c r="I14" s="3">
        <v>3.1</v>
      </c>
      <c r="J14" s="19">
        <v>2.31</v>
      </c>
      <c r="K14" s="40"/>
      <c r="L14" s="40"/>
    </row>
    <row r="15" spans="1:12" ht="24.95" customHeight="1" thickBot="1" x14ac:dyDescent="0.25">
      <c r="A15" s="53">
        <v>0.41666666666666669</v>
      </c>
      <c r="B15" s="42"/>
      <c r="C15" s="44"/>
      <c r="D15" s="42"/>
      <c r="E15" s="44"/>
      <c r="F15" s="63"/>
      <c r="G15" s="64"/>
      <c r="H15" s="107"/>
      <c r="I15" s="61"/>
      <c r="J15" s="62"/>
      <c r="K15" s="39"/>
      <c r="L15" s="39"/>
    </row>
    <row r="16" spans="1:12" ht="24.95" customHeight="1" thickBot="1" x14ac:dyDescent="0.25">
      <c r="A16" s="54"/>
      <c r="B16" s="48"/>
      <c r="C16" s="50"/>
      <c r="D16" s="48"/>
      <c r="E16" s="50"/>
      <c r="F16" s="65"/>
      <c r="G16" s="66"/>
      <c r="H16" s="108"/>
      <c r="I16" s="3"/>
      <c r="J16" s="19"/>
      <c r="K16" s="40"/>
      <c r="L16" s="40"/>
    </row>
    <row r="17" spans="1:12" ht="24.95" customHeight="1" thickBot="1" x14ac:dyDescent="0.25">
      <c r="A17" s="53">
        <v>0.5</v>
      </c>
      <c r="B17" s="42">
        <v>3.3</v>
      </c>
      <c r="C17" s="44"/>
      <c r="D17" s="42">
        <v>2.08</v>
      </c>
      <c r="E17" s="44"/>
      <c r="F17" s="63"/>
      <c r="G17" s="64"/>
      <c r="H17" s="16"/>
      <c r="I17" s="61"/>
      <c r="J17" s="62"/>
      <c r="K17" s="39"/>
      <c r="L17" s="39"/>
    </row>
    <row r="18" spans="1:12" ht="24.95" customHeight="1" thickBot="1" x14ac:dyDescent="0.25">
      <c r="A18" s="54"/>
      <c r="B18" s="48"/>
      <c r="C18" s="50"/>
      <c r="D18" s="48"/>
      <c r="E18" s="50"/>
      <c r="F18" s="65"/>
      <c r="G18" s="66"/>
      <c r="H18" s="10"/>
      <c r="I18" s="3"/>
      <c r="J18" s="17"/>
      <c r="K18" s="40"/>
      <c r="L18" s="40"/>
    </row>
    <row r="19" spans="1:12" ht="24.95" customHeight="1" thickBot="1" x14ac:dyDescent="0.25">
      <c r="A19" s="53">
        <v>0.58333333333333337</v>
      </c>
      <c r="B19" s="42"/>
      <c r="C19" s="43"/>
      <c r="D19" s="43"/>
      <c r="E19" s="44"/>
      <c r="F19" s="63"/>
      <c r="G19" s="64"/>
      <c r="H19" s="107"/>
      <c r="I19" s="61"/>
      <c r="J19" s="62"/>
      <c r="K19" s="39"/>
      <c r="L19" s="39"/>
    </row>
    <row r="20" spans="1:12" ht="24.95" customHeight="1" thickBot="1" x14ac:dyDescent="0.25">
      <c r="A20" s="54"/>
      <c r="B20" s="48"/>
      <c r="C20" s="49"/>
      <c r="D20" s="49"/>
      <c r="E20" s="50"/>
      <c r="F20" s="65"/>
      <c r="G20" s="66"/>
      <c r="H20" s="108"/>
      <c r="I20" s="3"/>
      <c r="J20" s="19"/>
      <c r="K20" s="40"/>
      <c r="L20" s="40"/>
    </row>
    <row r="21" spans="1:12" ht="50.1" customHeight="1" thickBot="1" x14ac:dyDescent="0.25">
      <c r="A21" s="1">
        <v>0.66666666666666663</v>
      </c>
      <c r="B21" s="41">
        <v>4.3899999999999997</v>
      </c>
      <c r="C21" s="41"/>
      <c r="D21" s="41">
        <v>0.78</v>
      </c>
      <c r="E21" s="41"/>
      <c r="F21" s="42"/>
      <c r="G21" s="43"/>
      <c r="H21" s="43"/>
      <c r="I21" s="43"/>
      <c r="J21" s="43"/>
      <c r="K21" s="43"/>
      <c r="L21" s="44"/>
    </row>
    <row r="22" spans="1:12" ht="50.1" customHeight="1" thickBot="1" x14ac:dyDescent="0.25">
      <c r="A22" s="1">
        <v>0.83333333333333337</v>
      </c>
      <c r="B22" s="41">
        <v>3.65</v>
      </c>
      <c r="C22" s="41"/>
      <c r="D22" s="41">
        <v>5.53</v>
      </c>
      <c r="E22" s="41"/>
      <c r="F22" s="45"/>
      <c r="G22" s="46"/>
      <c r="H22" s="46"/>
      <c r="I22" s="46"/>
      <c r="J22" s="46"/>
      <c r="K22" s="46"/>
      <c r="L22" s="47"/>
    </row>
    <row r="23" spans="1:12" ht="50.1" customHeight="1" thickBot="1" x14ac:dyDescent="0.25">
      <c r="A23" s="1">
        <v>1</v>
      </c>
      <c r="B23" s="51">
        <v>4.07</v>
      </c>
      <c r="C23" s="52"/>
      <c r="D23" s="51">
        <v>3.41</v>
      </c>
      <c r="E23" s="52"/>
      <c r="F23" s="45"/>
      <c r="G23" s="46"/>
      <c r="H23" s="46"/>
      <c r="I23" s="46"/>
      <c r="J23" s="46"/>
      <c r="K23" s="46"/>
      <c r="L23" s="47"/>
    </row>
    <row r="24" spans="1:12" ht="50.1" customHeight="1" thickBot="1" x14ac:dyDescent="0.25">
      <c r="A24" s="1">
        <v>0.16666666666666666</v>
      </c>
      <c r="B24" s="41">
        <v>4.32</v>
      </c>
      <c r="C24" s="41"/>
      <c r="D24" s="41">
        <v>5.54</v>
      </c>
      <c r="E24" s="41"/>
      <c r="F24" s="48"/>
      <c r="G24" s="49"/>
      <c r="H24" s="49"/>
      <c r="I24" s="49"/>
      <c r="J24" s="49"/>
      <c r="K24" s="49"/>
      <c r="L24" s="50"/>
    </row>
  </sheetData>
  <mergeCells count="68"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17:K18"/>
    <mergeCell ref="L17:L18"/>
    <mergeCell ref="A15:A16"/>
    <mergeCell ref="B15:C16"/>
    <mergeCell ref="D15:E16"/>
    <mergeCell ref="F15:H16"/>
    <mergeCell ref="I15:J15"/>
    <mergeCell ref="K15:K16"/>
    <mergeCell ref="A17:A18"/>
    <mergeCell ref="B17:C18"/>
    <mergeCell ref="D17:E18"/>
    <mergeCell ref="F17:G18"/>
    <mergeCell ref="I17:J17"/>
    <mergeCell ref="B19:E20"/>
    <mergeCell ref="F19:H20"/>
    <mergeCell ref="I19:J19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  <mergeCell ref="L19:L20"/>
  </mergeCells>
  <conditionalFormatting sqref="D9">
    <cfRule type="cellIs" dxfId="529" priority="24" operator="greaterThan">
      <formula>7</formula>
    </cfRule>
  </conditionalFormatting>
  <conditionalFormatting sqref="F9">
    <cfRule type="cellIs" dxfId="528" priority="23" operator="greaterThan">
      <formula>20</formula>
    </cfRule>
  </conditionalFormatting>
  <conditionalFormatting sqref="H9:J10">
    <cfRule type="cellIs" dxfId="527" priority="22" operator="lessThan">
      <formula>80</formula>
    </cfRule>
  </conditionalFormatting>
  <conditionalFormatting sqref="K9:L10">
    <cfRule type="cellIs" dxfId="526" priority="21" operator="greaterThan">
      <formula>0</formula>
    </cfRule>
  </conditionalFormatting>
  <conditionalFormatting sqref="B24:E24 B23 D23 B22:E22 B21:F21 B15 B19 D13 B13">
    <cfRule type="cellIs" dxfId="525" priority="20" operator="greaterThan">
      <formula>7</formula>
    </cfRule>
  </conditionalFormatting>
  <conditionalFormatting sqref="I15 I13">
    <cfRule type="cellIs" dxfId="524" priority="19" operator="greaterThan">
      <formula>20</formula>
    </cfRule>
  </conditionalFormatting>
  <conditionalFormatting sqref="K15 K13">
    <cfRule type="cellIs" dxfId="523" priority="18" stopIfTrue="1" operator="lessThan">
      <formula>80</formula>
    </cfRule>
  </conditionalFormatting>
  <conditionalFormatting sqref="L15 L13">
    <cfRule type="cellIs" dxfId="522" priority="17" operator="greaterThan">
      <formula>0</formula>
    </cfRule>
  </conditionalFormatting>
  <conditionalFormatting sqref="F15 F19 F13">
    <cfRule type="cellIs" dxfId="521" priority="16" stopIfTrue="1" operator="greaterThan">
      <formula>10</formula>
    </cfRule>
  </conditionalFormatting>
  <conditionalFormatting sqref="K19">
    <cfRule type="cellIs" dxfId="520" priority="15" stopIfTrue="1" operator="lessThan">
      <formula>80</formula>
    </cfRule>
  </conditionalFormatting>
  <conditionalFormatting sqref="I14:J14">
    <cfRule type="cellIs" dxfId="519" priority="14" operator="greaterThan">
      <formula>20</formula>
    </cfRule>
  </conditionalFormatting>
  <conditionalFormatting sqref="J16">
    <cfRule type="cellIs" dxfId="518" priority="13" operator="greaterThan">
      <formula>20</formula>
    </cfRule>
  </conditionalFormatting>
  <conditionalFormatting sqref="I16:I17">
    <cfRule type="cellIs" dxfId="517" priority="12" operator="greaterThan">
      <formula>20</formula>
    </cfRule>
  </conditionalFormatting>
  <conditionalFormatting sqref="I18">
    <cfRule type="cellIs" dxfId="516" priority="11" operator="greaterThan">
      <formula>20</formula>
    </cfRule>
  </conditionalFormatting>
  <conditionalFormatting sqref="I19">
    <cfRule type="cellIs" dxfId="515" priority="10" operator="greaterThan">
      <formula>20</formula>
    </cfRule>
  </conditionalFormatting>
  <conditionalFormatting sqref="I20">
    <cfRule type="cellIs" dxfId="514" priority="9" operator="greaterThan">
      <formula>20</formula>
    </cfRule>
  </conditionalFormatting>
  <conditionalFormatting sqref="J20">
    <cfRule type="cellIs" dxfId="513" priority="8" operator="greaterThan">
      <formula>20</formula>
    </cfRule>
  </conditionalFormatting>
  <conditionalFormatting sqref="D15">
    <cfRule type="cellIs" dxfId="512" priority="7" operator="greaterThan">
      <formula>7</formula>
    </cfRule>
  </conditionalFormatting>
  <conditionalFormatting sqref="D17">
    <cfRule type="cellIs" dxfId="511" priority="6" operator="greaterThan">
      <formula>7</formula>
    </cfRule>
  </conditionalFormatting>
  <conditionalFormatting sqref="B17">
    <cfRule type="cellIs" dxfId="510" priority="5" operator="greaterThan">
      <formula>7</formula>
    </cfRule>
  </conditionalFormatting>
  <conditionalFormatting sqref="K17">
    <cfRule type="cellIs" dxfId="509" priority="4" stopIfTrue="1" operator="lessThan">
      <formula>80</formula>
    </cfRule>
  </conditionalFormatting>
  <conditionalFormatting sqref="L17">
    <cfRule type="cellIs" dxfId="508" priority="3" operator="greaterThan">
      <formula>0</formula>
    </cfRule>
  </conditionalFormatting>
  <conditionalFormatting sqref="L19">
    <cfRule type="cellIs" dxfId="507" priority="2" operator="greaterThan">
      <formula>0</formula>
    </cfRule>
  </conditionalFormatting>
  <conditionalFormatting sqref="F17">
    <cfRule type="cellIs" dxfId="506" priority="1" stopIfTrue="1" operator="greaterThan">
      <formula>10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topLeftCell="A7" zoomScale="64" zoomScaleNormal="100" zoomScaleSheetLayoutView="64" zoomScalePageLayoutView="80" workbookViewId="0">
      <selection activeCell="L15" sqref="L15:L16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100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2"/>
    </row>
    <row r="2" spans="1:12" ht="40.5" customHeight="1" x14ac:dyDescent="0.2">
      <c r="A2" s="103" t="s">
        <v>25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5"/>
    </row>
    <row r="3" spans="1:12" ht="40.5" customHeight="1" x14ac:dyDescent="0.2">
      <c r="A3" s="106" t="s">
        <v>24</v>
      </c>
      <c r="B3" s="106"/>
      <c r="C3" s="106" t="s">
        <v>23</v>
      </c>
      <c r="D3" s="106"/>
      <c r="E3" s="106" t="s">
        <v>22</v>
      </c>
      <c r="F3" s="106"/>
      <c r="G3" s="106"/>
      <c r="H3" s="106" t="s">
        <v>21</v>
      </c>
      <c r="I3" s="106"/>
      <c r="J3" s="106"/>
      <c r="K3" s="106" t="s">
        <v>20</v>
      </c>
      <c r="L3" s="106"/>
    </row>
    <row r="4" spans="1:12" ht="40.5" customHeight="1" x14ac:dyDescent="0.2">
      <c r="A4" s="91">
        <v>48527531</v>
      </c>
      <c r="B4" s="91"/>
      <c r="C4" s="91"/>
      <c r="D4" s="91"/>
      <c r="E4" s="91" t="s">
        <v>37</v>
      </c>
      <c r="F4" s="91"/>
      <c r="G4" s="91"/>
      <c r="H4" s="91" t="s">
        <v>19</v>
      </c>
      <c r="I4" s="91"/>
      <c r="J4" s="91"/>
      <c r="K4" s="92" t="s">
        <v>18</v>
      </c>
      <c r="L4" s="92"/>
    </row>
    <row r="5" spans="1:12" ht="40.5" customHeight="1" thickBot="1" x14ac:dyDescent="0.25">
      <c r="A5" s="97" t="s">
        <v>17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67" t="s">
        <v>16</v>
      </c>
      <c r="B7" s="93" t="s">
        <v>15</v>
      </c>
      <c r="C7" s="94"/>
      <c r="D7" s="87" t="s">
        <v>14</v>
      </c>
      <c r="E7" s="87"/>
      <c r="F7" s="89" t="s">
        <v>13</v>
      </c>
      <c r="G7" s="90"/>
      <c r="H7" s="87" t="s">
        <v>12</v>
      </c>
      <c r="I7" s="87"/>
      <c r="J7" s="87"/>
      <c r="K7" s="69" t="s">
        <v>11</v>
      </c>
      <c r="L7" s="70"/>
    </row>
    <row r="8" spans="1:12" ht="24.95" customHeight="1" thickBot="1" x14ac:dyDescent="0.25">
      <c r="A8" s="68"/>
      <c r="B8" s="95"/>
      <c r="C8" s="96"/>
      <c r="D8" s="88"/>
      <c r="E8" s="88"/>
      <c r="F8" s="5" t="s">
        <v>10</v>
      </c>
      <c r="G8" s="5" t="s">
        <v>9</v>
      </c>
      <c r="H8" s="88"/>
      <c r="I8" s="88"/>
      <c r="J8" s="88"/>
      <c r="K8" s="71"/>
      <c r="L8" s="72"/>
    </row>
    <row r="9" spans="1:12" ht="24.95" customHeight="1" thickBot="1" x14ac:dyDescent="0.25">
      <c r="A9" s="73">
        <v>132.4</v>
      </c>
      <c r="B9" s="75">
        <v>5</v>
      </c>
      <c r="C9" s="76"/>
      <c r="D9" s="42">
        <f>AVERAGE(B13:E24)</f>
        <v>3.83</v>
      </c>
      <c r="E9" s="44"/>
      <c r="F9" s="61">
        <f>AVERAGE(I13,I15,I17,I19)</f>
        <v>3.7</v>
      </c>
      <c r="G9" s="62"/>
      <c r="H9" s="79">
        <f>AVERAGE(K13,K15,K17,K19)</f>
        <v>96.3</v>
      </c>
      <c r="I9" s="80"/>
      <c r="J9" s="81"/>
      <c r="K9" s="79">
        <f>AVERAGE(L13,L15,L17,L19)</f>
        <v>0</v>
      </c>
      <c r="L9" s="81"/>
    </row>
    <row r="10" spans="1:12" ht="24.95" customHeight="1" thickBot="1" x14ac:dyDescent="0.25">
      <c r="A10" s="74"/>
      <c r="B10" s="77"/>
      <c r="C10" s="78"/>
      <c r="D10" s="48"/>
      <c r="E10" s="50"/>
      <c r="F10" s="3">
        <f>AVERAGE(I14,I16,I18,I20)</f>
        <v>2</v>
      </c>
      <c r="G10" s="3">
        <f>AVERAGE(J14,J16,J18,J20)</f>
        <v>1.7</v>
      </c>
      <c r="H10" s="82"/>
      <c r="I10" s="83"/>
      <c r="J10" s="84"/>
      <c r="K10" s="82"/>
      <c r="L10" s="84"/>
    </row>
    <row r="11" spans="1:12" ht="24.95" customHeight="1" thickBot="1" x14ac:dyDescent="0.25">
      <c r="A11" s="67" t="s">
        <v>8</v>
      </c>
      <c r="B11" s="69" t="s">
        <v>7</v>
      </c>
      <c r="C11" s="70"/>
      <c r="D11" s="69" t="s">
        <v>6</v>
      </c>
      <c r="E11" s="70"/>
      <c r="F11" s="69" t="s">
        <v>5</v>
      </c>
      <c r="G11" s="87"/>
      <c r="H11" s="70"/>
      <c r="I11" s="89" t="s">
        <v>4</v>
      </c>
      <c r="J11" s="90"/>
      <c r="K11" s="85" t="s">
        <v>3</v>
      </c>
      <c r="L11" s="70" t="s">
        <v>2</v>
      </c>
    </row>
    <row r="12" spans="1:12" ht="24.95" customHeight="1" thickBot="1" x14ac:dyDescent="0.25">
      <c r="A12" s="68"/>
      <c r="B12" s="71"/>
      <c r="C12" s="72"/>
      <c r="D12" s="71"/>
      <c r="E12" s="72"/>
      <c r="F12" s="71"/>
      <c r="G12" s="88"/>
      <c r="H12" s="72"/>
      <c r="I12" s="5" t="s">
        <v>1</v>
      </c>
      <c r="J12" s="18" t="s">
        <v>0</v>
      </c>
      <c r="K12" s="86"/>
      <c r="L12" s="72"/>
    </row>
    <row r="13" spans="1:12" ht="24.95" customHeight="1" thickBot="1" x14ac:dyDescent="0.25">
      <c r="A13" s="53">
        <v>0.33333333333333331</v>
      </c>
      <c r="B13" s="42">
        <v>3.48</v>
      </c>
      <c r="C13" s="44"/>
      <c r="D13" s="42">
        <v>3.39</v>
      </c>
      <c r="E13" s="44"/>
      <c r="F13" s="63">
        <v>4.58</v>
      </c>
      <c r="G13" s="64"/>
      <c r="H13" s="107"/>
      <c r="I13" s="61">
        <v>3.7</v>
      </c>
      <c r="J13" s="62"/>
      <c r="K13" s="39">
        <v>96.3</v>
      </c>
      <c r="L13" s="39">
        <v>0</v>
      </c>
    </row>
    <row r="14" spans="1:12" ht="24.95" customHeight="1" thickBot="1" x14ac:dyDescent="0.25">
      <c r="A14" s="54"/>
      <c r="B14" s="48"/>
      <c r="C14" s="50"/>
      <c r="D14" s="48"/>
      <c r="E14" s="50"/>
      <c r="F14" s="65"/>
      <c r="G14" s="66"/>
      <c r="H14" s="108"/>
      <c r="I14" s="3">
        <v>2</v>
      </c>
      <c r="J14" s="19">
        <v>1.7</v>
      </c>
      <c r="K14" s="40"/>
      <c r="L14" s="40"/>
    </row>
    <row r="15" spans="1:12" ht="24.95" customHeight="1" thickBot="1" x14ac:dyDescent="0.25">
      <c r="A15" s="53">
        <v>0.41666666666666669</v>
      </c>
      <c r="B15" s="42"/>
      <c r="C15" s="44"/>
      <c r="D15" s="42"/>
      <c r="E15" s="44"/>
      <c r="F15" s="63"/>
      <c r="G15" s="64"/>
      <c r="H15" s="107"/>
      <c r="I15" s="61"/>
      <c r="J15" s="62"/>
      <c r="K15" s="39"/>
      <c r="L15" s="39"/>
    </row>
    <row r="16" spans="1:12" ht="24.95" customHeight="1" thickBot="1" x14ac:dyDescent="0.25">
      <c r="A16" s="54"/>
      <c r="B16" s="48"/>
      <c r="C16" s="50"/>
      <c r="D16" s="48"/>
      <c r="E16" s="50"/>
      <c r="F16" s="65"/>
      <c r="G16" s="66"/>
      <c r="H16" s="108"/>
      <c r="I16" s="3"/>
      <c r="J16" s="19"/>
      <c r="K16" s="40"/>
      <c r="L16" s="40"/>
    </row>
    <row r="17" spans="1:12" ht="24.95" customHeight="1" thickBot="1" x14ac:dyDescent="0.25">
      <c r="A17" s="53">
        <v>0.5</v>
      </c>
      <c r="B17" s="42">
        <v>2.74</v>
      </c>
      <c r="C17" s="44"/>
      <c r="D17" s="42">
        <v>2.2400000000000002</v>
      </c>
      <c r="E17" s="44"/>
      <c r="F17" s="63"/>
      <c r="G17" s="64"/>
      <c r="H17" s="16"/>
      <c r="I17" s="61"/>
      <c r="J17" s="62"/>
      <c r="K17" s="39"/>
      <c r="L17" s="39"/>
    </row>
    <row r="18" spans="1:12" ht="24.95" customHeight="1" thickBot="1" x14ac:dyDescent="0.25">
      <c r="A18" s="54"/>
      <c r="B18" s="48"/>
      <c r="C18" s="50"/>
      <c r="D18" s="48"/>
      <c r="E18" s="50"/>
      <c r="F18" s="65"/>
      <c r="G18" s="66"/>
      <c r="H18" s="10"/>
      <c r="I18" s="3"/>
      <c r="J18" s="17"/>
      <c r="K18" s="40"/>
      <c r="L18" s="40"/>
    </row>
    <row r="19" spans="1:12" ht="24.95" customHeight="1" thickBot="1" x14ac:dyDescent="0.25">
      <c r="A19" s="53">
        <v>0.58333333333333337</v>
      </c>
      <c r="B19" s="42"/>
      <c r="C19" s="43"/>
      <c r="D19" s="43"/>
      <c r="E19" s="44"/>
      <c r="F19" s="63"/>
      <c r="G19" s="64"/>
      <c r="H19" s="107"/>
      <c r="I19" s="61"/>
      <c r="J19" s="62"/>
      <c r="K19" s="39"/>
      <c r="L19" s="39"/>
    </row>
    <row r="20" spans="1:12" ht="24.95" customHeight="1" thickBot="1" x14ac:dyDescent="0.25">
      <c r="A20" s="54"/>
      <c r="B20" s="48"/>
      <c r="C20" s="49"/>
      <c r="D20" s="49"/>
      <c r="E20" s="50"/>
      <c r="F20" s="65"/>
      <c r="G20" s="66"/>
      <c r="H20" s="108"/>
      <c r="I20" s="3"/>
      <c r="J20" s="19"/>
      <c r="K20" s="40"/>
      <c r="L20" s="40"/>
    </row>
    <row r="21" spans="1:12" ht="50.1" customHeight="1" thickBot="1" x14ac:dyDescent="0.25">
      <c r="A21" s="1">
        <v>0.66666666666666663</v>
      </c>
      <c r="B21" s="41">
        <v>2.0699999999999998</v>
      </c>
      <c r="C21" s="41"/>
      <c r="D21" s="41">
        <v>4.8</v>
      </c>
      <c r="E21" s="41"/>
      <c r="F21" s="42"/>
      <c r="G21" s="43"/>
      <c r="H21" s="43"/>
      <c r="I21" s="43"/>
      <c r="J21" s="43"/>
      <c r="K21" s="43"/>
      <c r="L21" s="44"/>
    </row>
    <row r="22" spans="1:12" ht="50.1" customHeight="1" thickBot="1" x14ac:dyDescent="0.25">
      <c r="A22" s="1">
        <v>0.83333333333333337</v>
      </c>
      <c r="B22" s="41">
        <v>2.0699999999999998</v>
      </c>
      <c r="C22" s="41"/>
      <c r="D22" s="41">
        <v>4.63</v>
      </c>
      <c r="E22" s="41"/>
      <c r="F22" s="45"/>
      <c r="G22" s="46"/>
      <c r="H22" s="46"/>
      <c r="I22" s="46"/>
      <c r="J22" s="46"/>
      <c r="K22" s="46"/>
      <c r="L22" s="47"/>
    </row>
    <row r="23" spans="1:12" ht="50.1" customHeight="1" thickBot="1" x14ac:dyDescent="0.25">
      <c r="A23" s="1">
        <v>1</v>
      </c>
      <c r="B23" s="51">
        <v>4.34</v>
      </c>
      <c r="C23" s="52"/>
      <c r="D23" s="51">
        <v>5.54</v>
      </c>
      <c r="E23" s="52"/>
      <c r="F23" s="45"/>
      <c r="G23" s="46"/>
      <c r="H23" s="46"/>
      <c r="I23" s="46"/>
      <c r="J23" s="46"/>
      <c r="K23" s="46"/>
      <c r="L23" s="47"/>
    </row>
    <row r="24" spans="1:12" ht="50.1" customHeight="1" thickBot="1" x14ac:dyDescent="0.25">
      <c r="A24" s="1">
        <v>0.16666666666666666</v>
      </c>
      <c r="B24" s="41">
        <v>4.7</v>
      </c>
      <c r="C24" s="41"/>
      <c r="D24" s="41">
        <v>5.96</v>
      </c>
      <c r="E24" s="41"/>
      <c r="F24" s="48"/>
      <c r="G24" s="49"/>
      <c r="H24" s="49"/>
      <c r="I24" s="49"/>
      <c r="J24" s="49"/>
      <c r="K24" s="49"/>
      <c r="L24" s="50"/>
    </row>
  </sheetData>
  <mergeCells count="68"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17:K18"/>
    <mergeCell ref="L17:L18"/>
    <mergeCell ref="A15:A16"/>
    <mergeCell ref="B15:C16"/>
    <mergeCell ref="D15:E16"/>
    <mergeCell ref="F15:H16"/>
    <mergeCell ref="I15:J15"/>
    <mergeCell ref="K15:K16"/>
    <mergeCell ref="A17:A18"/>
    <mergeCell ref="B17:C18"/>
    <mergeCell ref="D17:E18"/>
    <mergeCell ref="F17:G18"/>
    <mergeCell ref="I17:J17"/>
    <mergeCell ref="B19:E20"/>
    <mergeCell ref="F19:H20"/>
    <mergeCell ref="I19:J19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  <mergeCell ref="L19:L20"/>
  </mergeCells>
  <conditionalFormatting sqref="D9">
    <cfRule type="cellIs" dxfId="505" priority="24" operator="greaterThan">
      <formula>7</formula>
    </cfRule>
  </conditionalFormatting>
  <conditionalFormatting sqref="F9">
    <cfRule type="cellIs" dxfId="504" priority="23" operator="greaterThan">
      <formula>20</formula>
    </cfRule>
  </conditionalFormatting>
  <conditionalFormatting sqref="H9:J10">
    <cfRule type="cellIs" dxfId="503" priority="22" operator="lessThan">
      <formula>80</formula>
    </cfRule>
  </conditionalFormatting>
  <conditionalFormatting sqref="K9:L10">
    <cfRule type="cellIs" dxfId="502" priority="21" operator="greaterThan">
      <formula>0</formula>
    </cfRule>
  </conditionalFormatting>
  <conditionalFormatting sqref="B24:E24 B23 D23 B22:E22 B21:F21 B15 B19 D13 B13">
    <cfRule type="cellIs" dxfId="501" priority="20" operator="greaterThan">
      <formula>7</formula>
    </cfRule>
  </conditionalFormatting>
  <conditionalFormatting sqref="I15 I13">
    <cfRule type="cellIs" dxfId="500" priority="19" operator="greaterThan">
      <formula>20</formula>
    </cfRule>
  </conditionalFormatting>
  <conditionalFormatting sqref="K15 K13">
    <cfRule type="cellIs" dxfId="499" priority="18" stopIfTrue="1" operator="lessThan">
      <formula>80</formula>
    </cfRule>
  </conditionalFormatting>
  <conditionalFormatting sqref="L15 L13">
    <cfRule type="cellIs" dxfId="498" priority="17" operator="greaterThan">
      <formula>0</formula>
    </cfRule>
  </conditionalFormatting>
  <conditionalFormatting sqref="F15 F19 F13">
    <cfRule type="cellIs" dxfId="497" priority="16" stopIfTrue="1" operator="greaterThan">
      <formula>10</formula>
    </cfRule>
  </conditionalFormatting>
  <conditionalFormatting sqref="K19">
    <cfRule type="cellIs" dxfId="496" priority="15" stopIfTrue="1" operator="lessThan">
      <formula>80</formula>
    </cfRule>
  </conditionalFormatting>
  <conditionalFormatting sqref="I14:J14">
    <cfRule type="cellIs" dxfId="495" priority="14" operator="greaterThan">
      <formula>20</formula>
    </cfRule>
  </conditionalFormatting>
  <conditionalFormatting sqref="J16">
    <cfRule type="cellIs" dxfId="494" priority="13" operator="greaterThan">
      <formula>20</formula>
    </cfRule>
  </conditionalFormatting>
  <conditionalFormatting sqref="I16:I17">
    <cfRule type="cellIs" dxfId="493" priority="12" operator="greaterThan">
      <formula>20</formula>
    </cfRule>
  </conditionalFormatting>
  <conditionalFormatting sqref="I18">
    <cfRule type="cellIs" dxfId="492" priority="11" operator="greaterThan">
      <formula>20</formula>
    </cfRule>
  </conditionalFormatting>
  <conditionalFormatting sqref="I19">
    <cfRule type="cellIs" dxfId="491" priority="10" operator="greaterThan">
      <formula>20</formula>
    </cfRule>
  </conditionalFormatting>
  <conditionalFormatting sqref="I20">
    <cfRule type="cellIs" dxfId="490" priority="9" operator="greaterThan">
      <formula>20</formula>
    </cfRule>
  </conditionalFormatting>
  <conditionalFormatting sqref="J20">
    <cfRule type="cellIs" dxfId="489" priority="8" operator="greaterThan">
      <formula>20</formula>
    </cfRule>
  </conditionalFormatting>
  <conditionalFormatting sqref="D15">
    <cfRule type="cellIs" dxfId="488" priority="7" operator="greaterThan">
      <formula>7</formula>
    </cfRule>
  </conditionalFormatting>
  <conditionalFormatting sqref="D17">
    <cfRule type="cellIs" dxfId="487" priority="6" operator="greaterThan">
      <formula>7</formula>
    </cfRule>
  </conditionalFormatting>
  <conditionalFormatting sqref="B17">
    <cfRule type="cellIs" dxfId="486" priority="5" operator="greaterThan">
      <formula>7</formula>
    </cfRule>
  </conditionalFormatting>
  <conditionalFormatting sqref="K17">
    <cfRule type="cellIs" dxfId="485" priority="4" stopIfTrue="1" operator="lessThan">
      <formula>80</formula>
    </cfRule>
  </conditionalFormatting>
  <conditionalFormatting sqref="L17">
    <cfRule type="cellIs" dxfId="484" priority="3" operator="greaterThan">
      <formula>0</formula>
    </cfRule>
  </conditionalFormatting>
  <conditionalFormatting sqref="L19">
    <cfRule type="cellIs" dxfId="483" priority="2" operator="greaterThan">
      <formula>0</formula>
    </cfRule>
  </conditionalFormatting>
  <conditionalFormatting sqref="F17">
    <cfRule type="cellIs" dxfId="482" priority="1" stopIfTrue="1" operator="greaterThan">
      <formula>10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topLeftCell="A5" zoomScale="80" zoomScaleNormal="100" zoomScaleSheetLayoutView="80" zoomScalePageLayoutView="80" workbookViewId="0">
      <selection activeCell="H9" sqref="H9:J10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100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2"/>
    </row>
    <row r="2" spans="1:12" ht="40.5" customHeight="1" x14ac:dyDescent="0.2">
      <c r="A2" s="103" t="s">
        <v>25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5"/>
    </row>
    <row r="3" spans="1:12" ht="40.5" customHeight="1" x14ac:dyDescent="0.2">
      <c r="A3" s="106" t="s">
        <v>24</v>
      </c>
      <c r="B3" s="106"/>
      <c r="C3" s="106" t="s">
        <v>23</v>
      </c>
      <c r="D3" s="106"/>
      <c r="E3" s="106" t="s">
        <v>22</v>
      </c>
      <c r="F3" s="106"/>
      <c r="G3" s="106"/>
      <c r="H3" s="106" t="s">
        <v>21</v>
      </c>
      <c r="I3" s="106"/>
      <c r="J3" s="106"/>
      <c r="K3" s="106" t="s">
        <v>20</v>
      </c>
      <c r="L3" s="106"/>
    </row>
    <row r="4" spans="1:12" ht="40.5" customHeight="1" x14ac:dyDescent="0.2">
      <c r="A4" s="91">
        <v>48527531</v>
      </c>
      <c r="B4" s="91"/>
      <c r="C4" s="91"/>
      <c r="D4" s="91"/>
      <c r="E4" s="91" t="s">
        <v>38</v>
      </c>
      <c r="F4" s="91"/>
      <c r="G4" s="91"/>
      <c r="H4" s="91" t="s">
        <v>19</v>
      </c>
      <c r="I4" s="91"/>
      <c r="J4" s="91"/>
      <c r="K4" s="92" t="s">
        <v>18</v>
      </c>
      <c r="L4" s="92"/>
    </row>
    <row r="5" spans="1:12" ht="40.5" customHeight="1" thickBot="1" x14ac:dyDescent="0.25">
      <c r="A5" s="97" t="s">
        <v>17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67" t="s">
        <v>16</v>
      </c>
      <c r="B7" s="93" t="s">
        <v>15</v>
      </c>
      <c r="C7" s="94"/>
      <c r="D7" s="87" t="s">
        <v>14</v>
      </c>
      <c r="E7" s="87"/>
      <c r="F7" s="89" t="s">
        <v>13</v>
      </c>
      <c r="G7" s="90"/>
      <c r="H7" s="87" t="s">
        <v>12</v>
      </c>
      <c r="I7" s="87"/>
      <c r="J7" s="87"/>
      <c r="K7" s="69" t="s">
        <v>11</v>
      </c>
      <c r="L7" s="70"/>
    </row>
    <row r="8" spans="1:12" ht="24.95" customHeight="1" thickBot="1" x14ac:dyDescent="0.25">
      <c r="A8" s="68"/>
      <c r="B8" s="95"/>
      <c r="C8" s="96"/>
      <c r="D8" s="88"/>
      <c r="E8" s="88"/>
      <c r="F8" s="5" t="s">
        <v>10</v>
      </c>
      <c r="G8" s="5" t="s">
        <v>9</v>
      </c>
      <c r="H8" s="88"/>
      <c r="I8" s="88"/>
      <c r="J8" s="88"/>
      <c r="K8" s="71"/>
      <c r="L8" s="72"/>
    </row>
    <row r="9" spans="1:12" ht="24.95" customHeight="1" thickBot="1" x14ac:dyDescent="0.25">
      <c r="A9" s="73">
        <v>612.1</v>
      </c>
      <c r="B9" s="75">
        <v>25</v>
      </c>
      <c r="C9" s="76"/>
      <c r="D9" s="42">
        <f>AVERAGE(B13:E24)</f>
        <v>5.4283333333333337</v>
      </c>
      <c r="E9" s="44"/>
      <c r="F9" s="61">
        <v>3</v>
      </c>
      <c r="G9" s="62"/>
      <c r="H9" s="79">
        <v>97</v>
      </c>
      <c r="I9" s="80"/>
      <c r="J9" s="81"/>
      <c r="K9" s="79">
        <f>AVERAGE(L13,L15,L17,L19)</f>
        <v>0</v>
      </c>
      <c r="L9" s="81"/>
    </row>
    <row r="10" spans="1:12" ht="24.95" customHeight="1" thickBot="1" x14ac:dyDescent="0.25">
      <c r="A10" s="74"/>
      <c r="B10" s="77"/>
      <c r="C10" s="78"/>
      <c r="D10" s="48"/>
      <c r="E10" s="50"/>
      <c r="F10" s="3">
        <f>AVERAGE(I14,I16,I18,I20)</f>
        <v>1.4666666666666668</v>
      </c>
      <c r="G10" s="3">
        <f>AVERAGE(J14,J16,J18,J20)</f>
        <v>1.4666666666666668</v>
      </c>
      <c r="H10" s="82"/>
      <c r="I10" s="83"/>
      <c r="J10" s="84"/>
      <c r="K10" s="82"/>
      <c r="L10" s="84"/>
    </row>
    <row r="11" spans="1:12" ht="24.95" customHeight="1" thickBot="1" x14ac:dyDescent="0.25">
      <c r="A11" s="67" t="s">
        <v>8</v>
      </c>
      <c r="B11" s="69" t="s">
        <v>7</v>
      </c>
      <c r="C11" s="70"/>
      <c r="D11" s="69" t="s">
        <v>6</v>
      </c>
      <c r="E11" s="70"/>
      <c r="F11" s="69" t="s">
        <v>5</v>
      </c>
      <c r="G11" s="87"/>
      <c r="H11" s="70"/>
      <c r="I11" s="89" t="s">
        <v>4</v>
      </c>
      <c r="J11" s="90"/>
      <c r="K11" s="85" t="s">
        <v>3</v>
      </c>
      <c r="L11" s="70" t="s">
        <v>2</v>
      </c>
    </row>
    <row r="12" spans="1:12" ht="24.95" customHeight="1" thickBot="1" x14ac:dyDescent="0.25">
      <c r="A12" s="68"/>
      <c r="B12" s="71"/>
      <c r="C12" s="72"/>
      <c r="D12" s="71"/>
      <c r="E12" s="72"/>
      <c r="F12" s="71"/>
      <c r="G12" s="88"/>
      <c r="H12" s="72"/>
      <c r="I12" s="5" t="s">
        <v>1</v>
      </c>
      <c r="J12" s="18" t="s">
        <v>0</v>
      </c>
      <c r="K12" s="86"/>
      <c r="L12" s="72"/>
    </row>
    <row r="13" spans="1:12" ht="24.95" customHeight="1" thickBot="1" x14ac:dyDescent="0.25">
      <c r="A13" s="53">
        <v>0.33333333333333331</v>
      </c>
      <c r="B13" s="42">
        <v>6.11</v>
      </c>
      <c r="C13" s="44"/>
      <c r="D13" s="42">
        <v>6.53</v>
      </c>
      <c r="E13" s="44"/>
      <c r="F13" s="63">
        <v>9</v>
      </c>
      <c r="G13" s="64"/>
      <c r="H13" s="107"/>
      <c r="I13" s="61">
        <v>2.9</v>
      </c>
      <c r="J13" s="62"/>
      <c r="K13" s="39">
        <v>97.1</v>
      </c>
      <c r="L13" s="39">
        <v>0</v>
      </c>
    </row>
    <row r="14" spans="1:12" ht="24.95" customHeight="1" thickBot="1" x14ac:dyDescent="0.25">
      <c r="A14" s="54"/>
      <c r="B14" s="48"/>
      <c r="C14" s="50"/>
      <c r="D14" s="48"/>
      <c r="E14" s="50"/>
      <c r="F14" s="65"/>
      <c r="G14" s="66"/>
      <c r="H14" s="108"/>
      <c r="I14" s="3">
        <v>1.6</v>
      </c>
      <c r="J14" s="19">
        <v>1.3</v>
      </c>
      <c r="K14" s="40"/>
      <c r="L14" s="40"/>
    </row>
    <row r="15" spans="1:12" ht="24.95" customHeight="1" thickBot="1" x14ac:dyDescent="0.25">
      <c r="A15" s="53">
        <v>0.41666666666666669</v>
      </c>
      <c r="B15" s="42"/>
      <c r="C15" s="44"/>
      <c r="D15" s="42"/>
      <c r="E15" s="44"/>
      <c r="F15" s="63">
        <v>9.77</v>
      </c>
      <c r="G15" s="64"/>
      <c r="H15" s="107"/>
      <c r="I15" s="61">
        <v>3.1</v>
      </c>
      <c r="J15" s="62"/>
      <c r="K15" s="39">
        <v>96.9</v>
      </c>
      <c r="L15" s="39">
        <v>0</v>
      </c>
    </row>
    <row r="16" spans="1:12" ht="24.95" customHeight="1" thickBot="1" x14ac:dyDescent="0.25">
      <c r="A16" s="54"/>
      <c r="B16" s="48"/>
      <c r="C16" s="50"/>
      <c r="D16" s="48"/>
      <c r="E16" s="50"/>
      <c r="F16" s="65"/>
      <c r="G16" s="66"/>
      <c r="H16" s="108"/>
      <c r="I16" s="3">
        <v>1.4</v>
      </c>
      <c r="J16" s="19">
        <v>1.7</v>
      </c>
      <c r="K16" s="40"/>
      <c r="L16" s="40"/>
    </row>
    <row r="17" spans="1:12" ht="24.95" customHeight="1" thickBot="1" x14ac:dyDescent="0.25">
      <c r="A17" s="53">
        <v>0.5</v>
      </c>
      <c r="B17" s="42">
        <v>6.14</v>
      </c>
      <c r="C17" s="44"/>
      <c r="D17" s="42">
        <v>3.8</v>
      </c>
      <c r="E17" s="44"/>
      <c r="F17" s="63"/>
      <c r="G17" s="64"/>
      <c r="H17" s="16"/>
      <c r="I17" s="61"/>
      <c r="J17" s="62"/>
      <c r="K17" s="39"/>
      <c r="L17" s="39"/>
    </row>
    <row r="18" spans="1:12" ht="24.95" customHeight="1" thickBot="1" x14ac:dyDescent="0.25">
      <c r="A18" s="54"/>
      <c r="B18" s="48"/>
      <c r="C18" s="50"/>
      <c r="D18" s="48"/>
      <c r="E18" s="50"/>
      <c r="F18" s="65"/>
      <c r="G18" s="66"/>
      <c r="H18" s="10"/>
      <c r="I18" s="3"/>
      <c r="J18" s="17"/>
      <c r="K18" s="40"/>
      <c r="L18" s="40"/>
    </row>
    <row r="19" spans="1:12" ht="24.95" customHeight="1" thickBot="1" x14ac:dyDescent="0.25">
      <c r="A19" s="53">
        <v>0.58333333333333337</v>
      </c>
      <c r="B19" s="42"/>
      <c r="C19" s="43"/>
      <c r="D19" s="43"/>
      <c r="E19" s="44"/>
      <c r="F19" s="63">
        <v>9.44</v>
      </c>
      <c r="G19" s="64"/>
      <c r="H19" s="107"/>
      <c r="I19" s="61">
        <v>2.8</v>
      </c>
      <c r="J19" s="62"/>
      <c r="K19" s="39">
        <v>97.2</v>
      </c>
      <c r="L19" s="39">
        <v>0</v>
      </c>
    </row>
    <row r="20" spans="1:12" ht="24.95" customHeight="1" thickBot="1" x14ac:dyDescent="0.25">
      <c r="A20" s="54"/>
      <c r="B20" s="48"/>
      <c r="C20" s="49"/>
      <c r="D20" s="49"/>
      <c r="E20" s="50"/>
      <c r="F20" s="65"/>
      <c r="G20" s="66"/>
      <c r="H20" s="108"/>
      <c r="I20" s="3">
        <v>1.4</v>
      </c>
      <c r="J20" s="19">
        <v>1.4</v>
      </c>
      <c r="K20" s="40"/>
      <c r="L20" s="40"/>
    </row>
    <row r="21" spans="1:12" ht="50.1" customHeight="1" thickBot="1" x14ac:dyDescent="0.25">
      <c r="A21" s="1">
        <v>0.66666666666666663</v>
      </c>
      <c r="B21" s="41">
        <v>5.15</v>
      </c>
      <c r="C21" s="41"/>
      <c r="D21" s="41">
        <v>7.46</v>
      </c>
      <c r="E21" s="41"/>
      <c r="F21" s="42"/>
      <c r="G21" s="43"/>
      <c r="H21" s="43"/>
      <c r="I21" s="43"/>
      <c r="J21" s="43"/>
      <c r="K21" s="43"/>
      <c r="L21" s="44"/>
    </row>
    <row r="22" spans="1:12" ht="50.1" customHeight="1" thickBot="1" x14ac:dyDescent="0.25">
      <c r="A22" s="1">
        <v>0.83333333333333337</v>
      </c>
      <c r="B22" s="41">
        <v>7.42</v>
      </c>
      <c r="C22" s="41"/>
      <c r="D22" s="41">
        <v>1.5</v>
      </c>
      <c r="E22" s="41"/>
      <c r="F22" s="45"/>
      <c r="G22" s="46"/>
      <c r="H22" s="46"/>
      <c r="I22" s="46"/>
      <c r="J22" s="46"/>
      <c r="K22" s="46"/>
      <c r="L22" s="47"/>
    </row>
    <row r="23" spans="1:12" ht="50.1" customHeight="1" thickBot="1" x14ac:dyDescent="0.25">
      <c r="A23" s="1">
        <v>1</v>
      </c>
      <c r="B23" s="51">
        <v>5.44</v>
      </c>
      <c r="C23" s="52"/>
      <c r="D23" s="51">
        <v>4.55</v>
      </c>
      <c r="E23" s="52"/>
      <c r="F23" s="45"/>
      <c r="G23" s="46"/>
      <c r="H23" s="46"/>
      <c r="I23" s="46"/>
      <c r="J23" s="46"/>
      <c r="K23" s="46"/>
      <c r="L23" s="47"/>
    </row>
    <row r="24" spans="1:12" ht="50.1" customHeight="1" thickBot="1" x14ac:dyDescent="0.25">
      <c r="A24" s="1">
        <v>0.16666666666666666</v>
      </c>
      <c r="B24" s="41">
        <v>4.4400000000000004</v>
      </c>
      <c r="C24" s="41"/>
      <c r="D24" s="41">
        <v>6.6</v>
      </c>
      <c r="E24" s="41"/>
      <c r="F24" s="48"/>
      <c r="G24" s="49"/>
      <c r="H24" s="49"/>
      <c r="I24" s="49"/>
      <c r="J24" s="49"/>
      <c r="K24" s="49"/>
      <c r="L24" s="50"/>
    </row>
  </sheetData>
  <mergeCells count="68"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17:K18"/>
    <mergeCell ref="L17:L18"/>
    <mergeCell ref="A15:A16"/>
    <mergeCell ref="B15:C16"/>
    <mergeCell ref="D15:E16"/>
    <mergeCell ref="F15:H16"/>
    <mergeCell ref="I15:J15"/>
    <mergeCell ref="K15:K16"/>
    <mergeCell ref="A17:A18"/>
    <mergeCell ref="B17:C18"/>
    <mergeCell ref="D17:E18"/>
    <mergeCell ref="F17:G18"/>
    <mergeCell ref="I17:J17"/>
    <mergeCell ref="B19:E20"/>
    <mergeCell ref="F19:H20"/>
    <mergeCell ref="I19:J19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  <mergeCell ref="L19:L20"/>
  </mergeCells>
  <conditionalFormatting sqref="D9">
    <cfRule type="cellIs" dxfId="481" priority="24" operator="greaterThan">
      <formula>7</formula>
    </cfRule>
  </conditionalFormatting>
  <conditionalFormatting sqref="F9">
    <cfRule type="cellIs" dxfId="480" priority="23" operator="greaterThan">
      <formula>20</formula>
    </cfRule>
  </conditionalFormatting>
  <conditionalFormatting sqref="H9:J10">
    <cfRule type="cellIs" dxfId="479" priority="22" operator="lessThan">
      <formula>80</formula>
    </cfRule>
  </conditionalFormatting>
  <conditionalFormatting sqref="K9:L10">
    <cfRule type="cellIs" dxfId="478" priority="21" operator="greaterThan">
      <formula>0</formula>
    </cfRule>
  </conditionalFormatting>
  <conditionalFormatting sqref="B24:E24 B23 D23 B22:E22 B21:F21 B15 B19 D13 B13">
    <cfRule type="cellIs" dxfId="477" priority="20" operator="greaterThan">
      <formula>7</formula>
    </cfRule>
  </conditionalFormatting>
  <conditionalFormatting sqref="I15 I13">
    <cfRule type="cellIs" dxfId="476" priority="19" operator="greaterThan">
      <formula>20</formula>
    </cfRule>
  </conditionalFormatting>
  <conditionalFormatting sqref="K15 K13">
    <cfRule type="cellIs" dxfId="475" priority="18" stopIfTrue="1" operator="lessThan">
      <formula>80</formula>
    </cfRule>
  </conditionalFormatting>
  <conditionalFormatting sqref="L15 L13">
    <cfRule type="cellIs" dxfId="474" priority="17" operator="greaterThan">
      <formula>0</formula>
    </cfRule>
  </conditionalFormatting>
  <conditionalFormatting sqref="F15 F19 F13">
    <cfRule type="cellIs" dxfId="473" priority="16" stopIfTrue="1" operator="greaterThan">
      <formula>10</formula>
    </cfRule>
  </conditionalFormatting>
  <conditionalFormatting sqref="K19">
    <cfRule type="cellIs" dxfId="472" priority="15" stopIfTrue="1" operator="lessThan">
      <formula>80</formula>
    </cfRule>
  </conditionalFormatting>
  <conditionalFormatting sqref="I14:J14">
    <cfRule type="cellIs" dxfId="471" priority="14" operator="greaterThan">
      <formula>20</formula>
    </cfRule>
  </conditionalFormatting>
  <conditionalFormatting sqref="J16">
    <cfRule type="cellIs" dxfId="470" priority="13" operator="greaterThan">
      <formula>20</formula>
    </cfRule>
  </conditionalFormatting>
  <conditionalFormatting sqref="I16:I17">
    <cfRule type="cellIs" dxfId="469" priority="12" operator="greaterThan">
      <formula>20</formula>
    </cfRule>
  </conditionalFormatting>
  <conditionalFormatting sqref="I18">
    <cfRule type="cellIs" dxfId="468" priority="11" operator="greaterThan">
      <formula>20</formula>
    </cfRule>
  </conditionalFormatting>
  <conditionalFormatting sqref="I19">
    <cfRule type="cellIs" dxfId="467" priority="10" operator="greaterThan">
      <formula>20</formula>
    </cfRule>
  </conditionalFormatting>
  <conditionalFormatting sqref="I20">
    <cfRule type="cellIs" dxfId="466" priority="9" operator="greaterThan">
      <formula>20</formula>
    </cfRule>
  </conditionalFormatting>
  <conditionalFormatting sqref="J20">
    <cfRule type="cellIs" dxfId="465" priority="8" operator="greaterThan">
      <formula>20</formula>
    </cfRule>
  </conditionalFormatting>
  <conditionalFormatting sqref="D15">
    <cfRule type="cellIs" dxfId="464" priority="7" operator="greaterThan">
      <formula>7</formula>
    </cfRule>
  </conditionalFormatting>
  <conditionalFormatting sqref="D17">
    <cfRule type="cellIs" dxfId="463" priority="6" operator="greaterThan">
      <formula>7</formula>
    </cfRule>
  </conditionalFormatting>
  <conditionalFormatting sqref="B17">
    <cfRule type="cellIs" dxfId="462" priority="5" operator="greaterThan">
      <formula>7</formula>
    </cfRule>
  </conditionalFormatting>
  <conditionalFormatting sqref="K17">
    <cfRule type="cellIs" dxfId="461" priority="4" stopIfTrue="1" operator="lessThan">
      <formula>80</formula>
    </cfRule>
  </conditionalFormatting>
  <conditionalFormatting sqref="L17">
    <cfRule type="cellIs" dxfId="460" priority="3" operator="greaterThan">
      <formula>0</formula>
    </cfRule>
  </conditionalFormatting>
  <conditionalFormatting sqref="L19">
    <cfRule type="cellIs" dxfId="459" priority="2" operator="greaterThan">
      <formula>0</formula>
    </cfRule>
  </conditionalFormatting>
  <conditionalFormatting sqref="F17">
    <cfRule type="cellIs" dxfId="458" priority="1" stopIfTrue="1" operator="greaterThan">
      <formula>10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zoomScale="69" zoomScaleNormal="100" zoomScaleSheetLayoutView="69" zoomScalePageLayoutView="80" workbookViewId="0">
      <selection activeCell="K17" sqref="K17:K18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100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2"/>
    </row>
    <row r="2" spans="1:12" ht="40.5" customHeight="1" x14ac:dyDescent="0.2">
      <c r="A2" s="103" t="s">
        <v>25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5"/>
    </row>
    <row r="3" spans="1:12" ht="40.5" customHeight="1" x14ac:dyDescent="0.2">
      <c r="A3" s="106" t="s">
        <v>24</v>
      </c>
      <c r="B3" s="106"/>
      <c r="C3" s="106" t="s">
        <v>23</v>
      </c>
      <c r="D3" s="106"/>
      <c r="E3" s="106" t="s">
        <v>22</v>
      </c>
      <c r="F3" s="106"/>
      <c r="G3" s="106"/>
      <c r="H3" s="106" t="s">
        <v>21</v>
      </c>
      <c r="I3" s="106"/>
      <c r="J3" s="106"/>
      <c r="K3" s="106" t="s">
        <v>20</v>
      </c>
      <c r="L3" s="106"/>
    </row>
    <row r="4" spans="1:12" ht="40.5" customHeight="1" x14ac:dyDescent="0.2">
      <c r="A4" s="91">
        <v>48527531</v>
      </c>
      <c r="B4" s="91"/>
      <c r="C4" s="91"/>
      <c r="D4" s="91"/>
      <c r="E4" s="91" t="s">
        <v>39</v>
      </c>
      <c r="F4" s="91"/>
      <c r="G4" s="91"/>
      <c r="H4" s="91" t="s">
        <v>19</v>
      </c>
      <c r="I4" s="91"/>
      <c r="J4" s="91"/>
      <c r="K4" s="92" t="s">
        <v>18</v>
      </c>
      <c r="L4" s="92"/>
    </row>
    <row r="5" spans="1:12" ht="40.5" customHeight="1" thickBot="1" x14ac:dyDescent="0.25">
      <c r="A5" s="97" t="s">
        <v>17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67" t="s">
        <v>16</v>
      </c>
      <c r="B7" s="93" t="s">
        <v>15</v>
      </c>
      <c r="C7" s="94"/>
      <c r="D7" s="87" t="s">
        <v>14</v>
      </c>
      <c r="E7" s="87"/>
      <c r="F7" s="89" t="s">
        <v>13</v>
      </c>
      <c r="G7" s="90"/>
      <c r="H7" s="87" t="s">
        <v>12</v>
      </c>
      <c r="I7" s="87"/>
      <c r="J7" s="87"/>
      <c r="K7" s="69" t="s">
        <v>11</v>
      </c>
      <c r="L7" s="70"/>
    </row>
    <row r="8" spans="1:12" ht="24.95" customHeight="1" thickBot="1" x14ac:dyDescent="0.25">
      <c r="A8" s="68"/>
      <c r="B8" s="95"/>
      <c r="C8" s="96"/>
      <c r="D8" s="88"/>
      <c r="E8" s="88"/>
      <c r="F8" s="5" t="s">
        <v>10</v>
      </c>
      <c r="G8" s="5" t="s">
        <v>9</v>
      </c>
      <c r="H8" s="88"/>
      <c r="I8" s="88"/>
      <c r="J8" s="88"/>
      <c r="K8" s="71"/>
      <c r="L8" s="72"/>
    </row>
    <row r="9" spans="1:12" ht="24.95" customHeight="1" thickBot="1" x14ac:dyDescent="0.25">
      <c r="A9" s="73">
        <v>622.1</v>
      </c>
      <c r="B9" s="75">
        <v>25</v>
      </c>
      <c r="C9" s="76"/>
      <c r="D9" s="42">
        <f>AVERAGE(B13:E24)</f>
        <v>4.4408333333333339</v>
      </c>
      <c r="E9" s="44"/>
      <c r="F9" s="61">
        <f>AVERAGE(I13,I15,I17,I19)</f>
        <v>4.5</v>
      </c>
      <c r="G9" s="62"/>
      <c r="H9" s="79">
        <f>AVERAGE(K13,K15,K17,K19)</f>
        <v>95.5</v>
      </c>
      <c r="I9" s="80"/>
      <c r="J9" s="81"/>
      <c r="K9" s="79">
        <f>AVERAGE(L13,L15,L17,L19)</f>
        <v>0</v>
      </c>
      <c r="L9" s="81"/>
    </row>
    <row r="10" spans="1:12" ht="24.95" customHeight="1" thickBot="1" x14ac:dyDescent="0.25">
      <c r="A10" s="74"/>
      <c r="B10" s="77"/>
      <c r="C10" s="78"/>
      <c r="D10" s="48"/>
      <c r="E10" s="50"/>
      <c r="F10" s="3">
        <f>AVERAGE(I14,I16,I18,I20)</f>
        <v>2.3000000000000003</v>
      </c>
      <c r="G10" s="3">
        <f>AVERAGE(J14,J16,J18,J20)</f>
        <v>2.1999999999999997</v>
      </c>
      <c r="H10" s="82"/>
      <c r="I10" s="83"/>
      <c r="J10" s="84"/>
      <c r="K10" s="82"/>
      <c r="L10" s="84"/>
    </row>
    <row r="11" spans="1:12" ht="24.95" customHeight="1" thickBot="1" x14ac:dyDescent="0.25">
      <c r="A11" s="67" t="s">
        <v>8</v>
      </c>
      <c r="B11" s="69" t="s">
        <v>7</v>
      </c>
      <c r="C11" s="70"/>
      <c r="D11" s="69" t="s">
        <v>6</v>
      </c>
      <c r="E11" s="70"/>
      <c r="F11" s="69" t="s">
        <v>5</v>
      </c>
      <c r="G11" s="87"/>
      <c r="H11" s="70"/>
      <c r="I11" s="89" t="s">
        <v>4</v>
      </c>
      <c r="J11" s="90"/>
      <c r="K11" s="85" t="s">
        <v>3</v>
      </c>
      <c r="L11" s="70" t="s">
        <v>2</v>
      </c>
    </row>
    <row r="12" spans="1:12" ht="24.95" customHeight="1" thickBot="1" x14ac:dyDescent="0.25">
      <c r="A12" s="68"/>
      <c r="B12" s="71"/>
      <c r="C12" s="72"/>
      <c r="D12" s="71"/>
      <c r="E12" s="72"/>
      <c r="F12" s="71"/>
      <c r="G12" s="88"/>
      <c r="H12" s="72"/>
      <c r="I12" s="5" t="s">
        <v>1</v>
      </c>
      <c r="J12" s="18" t="s">
        <v>0</v>
      </c>
      <c r="K12" s="86"/>
      <c r="L12" s="72"/>
    </row>
    <row r="13" spans="1:12" ht="24.95" customHeight="1" thickBot="1" x14ac:dyDescent="0.25">
      <c r="A13" s="53">
        <v>0.33333333333333331</v>
      </c>
      <c r="B13" s="42">
        <v>1.4</v>
      </c>
      <c r="C13" s="44"/>
      <c r="D13" s="42">
        <v>3.5</v>
      </c>
      <c r="E13" s="44"/>
      <c r="F13" s="63">
        <v>11.96</v>
      </c>
      <c r="G13" s="64"/>
      <c r="H13" s="107"/>
      <c r="I13" s="61">
        <v>4.0999999999999996</v>
      </c>
      <c r="J13" s="62"/>
      <c r="K13" s="39">
        <v>95.9</v>
      </c>
      <c r="L13" s="39">
        <v>0</v>
      </c>
    </row>
    <row r="14" spans="1:12" ht="24.95" customHeight="1" thickBot="1" x14ac:dyDescent="0.25">
      <c r="A14" s="54"/>
      <c r="B14" s="48"/>
      <c r="C14" s="50"/>
      <c r="D14" s="48"/>
      <c r="E14" s="50"/>
      <c r="F14" s="65"/>
      <c r="G14" s="66"/>
      <c r="H14" s="108"/>
      <c r="I14" s="3">
        <v>2</v>
      </c>
      <c r="J14" s="19">
        <v>2.1</v>
      </c>
      <c r="K14" s="40"/>
      <c r="L14" s="40"/>
    </row>
    <row r="15" spans="1:12" ht="24.95" customHeight="1" thickBot="1" x14ac:dyDescent="0.25">
      <c r="A15" s="53">
        <v>0.41666666666666669</v>
      </c>
      <c r="B15" s="42"/>
      <c r="C15" s="44"/>
      <c r="D15" s="42"/>
      <c r="E15" s="44"/>
      <c r="F15" s="63">
        <v>7.44</v>
      </c>
      <c r="G15" s="64"/>
      <c r="H15" s="107"/>
      <c r="I15" s="61">
        <v>5.4</v>
      </c>
      <c r="J15" s="62"/>
      <c r="K15" s="39">
        <v>94.6</v>
      </c>
      <c r="L15" s="39">
        <v>0</v>
      </c>
    </row>
    <row r="16" spans="1:12" ht="24.95" customHeight="1" thickBot="1" x14ac:dyDescent="0.25">
      <c r="A16" s="54"/>
      <c r="B16" s="48"/>
      <c r="C16" s="50"/>
      <c r="D16" s="48"/>
      <c r="E16" s="50"/>
      <c r="F16" s="65"/>
      <c r="G16" s="66"/>
      <c r="H16" s="108"/>
      <c r="I16" s="3">
        <v>2.5</v>
      </c>
      <c r="J16" s="19">
        <v>2.9</v>
      </c>
      <c r="K16" s="40"/>
      <c r="L16" s="40"/>
    </row>
    <row r="17" spans="1:12" ht="24.95" customHeight="1" thickBot="1" x14ac:dyDescent="0.25">
      <c r="A17" s="53">
        <v>0.5</v>
      </c>
      <c r="B17" s="42">
        <v>3.65</v>
      </c>
      <c r="C17" s="44"/>
      <c r="D17" s="42">
        <v>2.8</v>
      </c>
      <c r="E17" s="44"/>
      <c r="F17" s="63"/>
      <c r="G17" s="64"/>
      <c r="H17" s="16"/>
      <c r="I17" s="61"/>
      <c r="J17" s="62"/>
      <c r="K17" s="39"/>
      <c r="L17" s="39"/>
    </row>
    <row r="18" spans="1:12" ht="24.95" customHeight="1" thickBot="1" x14ac:dyDescent="0.25">
      <c r="A18" s="54"/>
      <c r="B18" s="48"/>
      <c r="C18" s="50"/>
      <c r="D18" s="48"/>
      <c r="E18" s="50"/>
      <c r="F18" s="65"/>
      <c r="G18" s="66"/>
      <c r="H18" s="10"/>
      <c r="I18" s="3"/>
      <c r="J18" s="17"/>
      <c r="K18" s="40"/>
      <c r="L18" s="40"/>
    </row>
    <row r="19" spans="1:12" ht="24.95" customHeight="1" thickBot="1" x14ac:dyDescent="0.25">
      <c r="A19" s="53">
        <v>0.58333333333333337</v>
      </c>
      <c r="B19" s="42"/>
      <c r="C19" s="43"/>
      <c r="D19" s="43"/>
      <c r="E19" s="44"/>
      <c r="F19" s="63">
        <v>4.4800000000000004</v>
      </c>
      <c r="G19" s="64"/>
      <c r="H19" s="107"/>
      <c r="I19" s="61">
        <v>4</v>
      </c>
      <c r="J19" s="62"/>
      <c r="K19" s="39">
        <v>96</v>
      </c>
      <c r="L19" s="39">
        <v>0</v>
      </c>
    </row>
    <row r="20" spans="1:12" ht="24.95" customHeight="1" thickBot="1" x14ac:dyDescent="0.25">
      <c r="A20" s="54"/>
      <c r="B20" s="48"/>
      <c r="C20" s="49"/>
      <c r="D20" s="49"/>
      <c r="E20" s="50"/>
      <c r="F20" s="65"/>
      <c r="G20" s="66"/>
      <c r="H20" s="108"/>
      <c r="I20" s="3">
        <v>2.4</v>
      </c>
      <c r="J20" s="19">
        <v>1.6</v>
      </c>
      <c r="K20" s="40"/>
      <c r="L20" s="40"/>
    </row>
    <row r="21" spans="1:12" ht="50.1" customHeight="1" thickBot="1" x14ac:dyDescent="0.25">
      <c r="A21" s="1">
        <v>0.66666666666666663</v>
      </c>
      <c r="B21" s="41">
        <v>5.63</v>
      </c>
      <c r="C21" s="41"/>
      <c r="D21" s="41">
        <v>6.65</v>
      </c>
      <c r="E21" s="41"/>
      <c r="F21" s="42"/>
      <c r="G21" s="43"/>
      <c r="H21" s="43"/>
      <c r="I21" s="43"/>
      <c r="J21" s="43"/>
      <c r="K21" s="43"/>
      <c r="L21" s="44"/>
    </row>
    <row r="22" spans="1:12" ht="50.1" customHeight="1" thickBot="1" x14ac:dyDescent="0.25">
      <c r="A22" s="1">
        <v>0.83333333333333337</v>
      </c>
      <c r="B22" s="41">
        <v>3.94</v>
      </c>
      <c r="C22" s="41"/>
      <c r="D22" s="41">
        <v>5.94</v>
      </c>
      <c r="E22" s="41"/>
      <c r="F22" s="45"/>
      <c r="G22" s="46"/>
      <c r="H22" s="46"/>
      <c r="I22" s="46"/>
      <c r="J22" s="46"/>
      <c r="K22" s="46"/>
      <c r="L22" s="47"/>
    </row>
    <row r="23" spans="1:12" ht="50.1" customHeight="1" thickBot="1" x14ac:dyDescent="0.25">
      <c r="A23" s="1">
        <v>1</v>
      </c>
      <c r="B23" s="51">
        <v>4.42</v>
      </c>
      <c r="C23" s="52"/>
      <c r="D23" s="51">
        <v>6.09</v>
      </c>
      <c r="E23" s="52"/>
      <c r="F23" s="45"/>
      <c r="G23" s="46"/>
      <c r="H23" s="46"/>
      <c r="I23" s="46"/>
      <c r="J23" s="46"/>
      <c r="K23" s="46"/>
      <c r="L23" s="47"/>
    </row>
    <row r="24" spans="1:12" ht="50.1" customHeight="1" thickBot="1" x14ac:dyDescent="0.25">
      <c r="A24" s="1">
        <v>0.16666666666666666</v>
      </c>
      <c r="B24" s="41">
        <v>4.04</v>
      </c>
      <c r="C24" s="41"/>
      <c r="D24" s="41">
        <v>5.23</v>
      </c>
      <c r="E24" s="41"/>
      <c r="F24" s="48"/>
      <c r="G24" s="49"/>
      <c r="H24" s="49"/>
      <c r="I24" s="49"/>
      <c r="J24" s="49"/>
      <c r="K24" s="49"/>
      <c r="L24" s="50"/>
    </row>
  </sheetData>
  <mergeCells count="68"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17:K18"/>
    <mergeCell ref="L17:L18"/>
    <mergeCell ref="A15:A16"/>
    <mergeCell ref="B15:C16"/>
    <mergeCell ref="D15:E16"/>
    <mergeCell ref="F15:H16"/>
    <mergeCell ref="I15:J15"/>
    <mergeCell ref="K15:K16"/>
    <mergeCell ref="A17:A18"/>
    <mergeCell ref="B17:C18"/>
    <mergeCell ref="D17:E18"/>
    <mergeCell ref="F17:G18"/>
    <mergeCell ref="I17:J17"/>
    <mergeCell ref="B19:E20"/>
    <mergeCell ref="F19:H20"/>
    <mergeCell ref="I19:J19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  <mergeCell ref="L19:L20"/>
  </mergeCells>
  <conditionalFormatting sqref="D9">
    <cfRule type="cellIs" dxfId="457" priority="24" operator="greaterThan">
      <formula>7</formula>
    </cfRule>
  </conditionalFormatting>
  <conditionalFormatting sqref="F9">
    <cfRule type="cellIs" dxfId="456" priority="23" operator="greaterThan">
      <formula>20</formula>
    </cfRule>
  </conditionalFormatting>
  <conditionalFormatting sqref="H9:J10">
    <cfRule type="cellIs" dxfId="455" priority="22" operator="lessThan">
      <formula>80</formula>
    </cfRule>
  </conditionalFormatting>
  <conditionalFormatting sqref="K9:L10">
    <cfRule type="cellIs" dxfId="454" priority="21" operator="greaterThan">
      <formula>0</formula>
    </cfRule>
  </conditionalFormatting>
  <conditionalFormatting sqref="B24:E24 B23 D23 B22:E22 B21:F21 B15 B19 D13 B13">
    <cfRule type="cellIs" dxfId="453" priority="20" operator="greaterThan">
      <formula>7</formula>
    </cfRule>
  </conditionalFormatting>
  <conditionalFormatting sqref="I15 I13">
    <cfRule type="cellIs" dxfId="452" priority="19" operator="greaterThan">
      <formula>20</formula>
    </cfRule>
  </conditionalFormatting>
  <conditionalFormatting sqref="K15 K13">
    <cfRule type="cellIs" dxfId="451" priority="18" stopIfTrue="1" operator="lessThan">
      <formula>80</formula>
    </cfRule>
  </conditionalFormatting>
  <conditionalFormatting sqref="L15 L13">
    <cfRule type="cellIs" dxfId="450" priority="17" operator="greaterThan">
      <formula>0</formula>
    </cfRule>
  </conditionalFormatting>
  <conditionalFormatting sqref="F15 F19 F13">
    <cfRule type="cellIs" dxfId="449" priority="16" stopIfTrue="1" operator="greaterThan">
      <formula>10</formula>
    </cfRule>
  </conditionalFormatting>
  <conditionalFormatting sqref="K19">
    <cfRule type="cellIs" dxfId="448" priority="15" stopIfTrue="1" operator="lessThan">
      <formula>80</formula>
    </cfRule>
  </conditionalFormatting>
  <conditionalFormatting sqref="I14:J14">
    <cfRule type="cellIs" dxfId="447" priority="14" operator="greaterThan">
      <formula>20</formula>
    </cfRule>
  </conditionalFormatting>
  <conditionalFormatting sqref="J16">
    <cfRule type="cellIs" dxfId="446" priority="13" operator="greaterThan">
      <formula>20</formula>
    </cfRule>
  </conditionalFormatting>
  <conditionalFormatting sqref="I16:I17">
    <cfRule type="cellIs" dxfId="445" priority="12" operator="greaterThan">
      <formula>20</formula>
    </cfRule>
  </conditionalFormatting>
  <conditionalFormatting sqref="I18">
    <cfRule type="cellIs" dxfId="444" priority="11" operator="greaterThan">
      <formula>20</formula>
    </cfRule>
  </conditionalFormatting>
  <conditionalFormatting sqref="I19">
    <cfRule type="cellIs" dxfId="443" priority="10" operator="greaterThan">
      <formula>20</formula>
    </cfRule>
  </conditionalFormatting>
  <conditionalFormatting sqref="I20">
    <cfRule type="cellIs" dxfId="442" priority="9" operator="greaterThan">
      <formula>20</formula>
    </cfRule>
  </conditionalFormatting>
  <conditionalFormatting sqref="J20">
    <cfRule type="cellIs" dxfId="441" priority="8" operator="greaterThan">
      <formula>20</formula>
    </cfRule>
  </conditionalFormatting>
  <conditionalFormatting sqref="D15">
    <cfRule type="cellIs" dxfId="440" priority="7" operator="greaterThan">
      <formula>7</formula>
    </cfRule>
  </conditionalFormatting>
  <conditionalFormatting sqref="D17">
    <cfRule type="cellIs" dxfId="439" priority="6" operator="greaterThan">
      <formula>7</formula>
    </cfRule>
  </conditionalFormatting>
  <conditionalFormatting sqref="B17">
    <cfRule type="cellIs" dxfId="438" priority="5" operator="greaterThan">
      <formula>7</formula>
    </cfRule>
  </conditionalFormatting>
  <conditionalFormatting sqref="K17">
    <cfRule type="cellIs" dxfId="437" priority="4" stopIfTrue="1" operator="lessThan">
      <formula>80</formula>
    </cfRule>
  </conditionalFormatting>
  <conditionalFormatting sqref="L17">
    <cfRule type="cellIs" dxfId="436" priority="3" operator="greaterThan">
      <formula>0</formula>
    </cfRule>
  </conditionalFormatting>
  <conditionalFormatting sqref="L19">
    <cfRule type="cellIs" dxfId="435" priority="2" operator="greaterThan">
      <formula>0</formula>
    </cfRule>
  </conditionalFormatting>
  <conditionalFormatting sqref="F17">
    <cfRule type="cellIs" dxfId="434" priority="1" stopIfTrue="1" operator="greaterThan">
      <formula>10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topLeftCell="A6" zoomScale="70" zoomScaleNormal="100" zoomScaleSheetLayoutView="70" zoomScalePageLayoutView="80" workbookViewId="0">
      <selection activeCell="H9" sqref="H9:J10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100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2"/>
    </row>
    <row r="2" spans="1:12" ht="40.5" customHeight="1" x14ac:dyDescent="0.2">
      <c r="A2" s="103" t="s">
        <v>25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5"/>
    </row>
    <row r="3" spans="1:12" ht="40.5" customHeight="1" x14ac:dyDescent="0.2">
      <c r="A3" s="106" t="s">
        <v>24</v>
      </c>
      <c r="B3" s="106"/>
      <c r="C3" s="106" t="s">
        <v>23</v>
      </c>
      <c r="D3" s="106"/>
      <c r="E3" s="106" t="s">
        <v>22</v>
      </c>
      <c r="F3" s="106"/>
      <c r="G3" s="106"/>
      <c r="H3" s="106" t="s">
        <v>21</v>
      </c>
      <c r="I3" s="106"/>
      <c r="J3" s="106"/>
      <c r="K3" s="106" t="s">
        <v>20</v>
      </c>
      <c r="L3" s="106"/>
    </row>
    <row r="4" spans="1:12" ht="40.5" customHeight="1" x14ac:dyDescent="0.2">
      <c r="A4" s="91">
        <v>48527531</v>
      </c>
      <c r="B4" s="91"/>
      <c r="C4" s="91"/>
      <c r="D4" s="91"/>
      <c r="E4" s="91" t="s">
        <v>40</v>
      </c>
      <c r="F4" s="91"/>
      <c r="G4" s="91"/>
      <c r="H4" s="91" t="s">
        <v>19</v>
      </c>
      <c r="I4" s="91"/>
      <c r="J4" s="91"/>
      <c r="K4" s="92" t="s">
        <v>18</v>
      </c>
      <c r="L4" s="92"/>
    </row>
    <row r="5" spans="1:12" ht="40.5" customHeight="1" thickBot="1" x14ac:dyDescent="0.25">
      <c r="A5" s="97" t="s">
        <v>17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67" t="s">
        <v>16</v>
      </c>
      <c r="B7" s="93" t="s">
        <v>15</v>
      </c>
      <c r="C7" s="94"/>
      <c r="D7" s="87" t="s">
        <v>14</v>
      </c>
      <c r="E7" s="87"/>
      <c r="F7" s="89" t="s">
        <v>13</v>
      </c>
      <c r="G7" s="90"/>
      <c r="H7" s="87" t="s">
        <v>12</v>
      </c>
      <c r="I7" s="87"/>
      <c r="J7" s="87"/>
      <c r="K7" s="69" t="s">
        <v>11</v>
      </c>
      <c r="L7" s="70"/>
    </row>
    <row r="8" spans="1:12" ht="24.95" customHeight="1" thickBot="1" x14ac:dyDescent="0.25">
      <c r="A8" s="68"/>
      <c r="B8" s="95"/>
      <c r="C8" s="96"/>
      <c r="D8" s="88"/>
      <c r="E8" s="88"/>
      <c r="F8" s="5" t="s">
        <v>10</v>
      </c>
      <c r="G8" s="5" t="s">
        <v>9</v>
      </c>
      <c r="H8" s="88"/>
      <c r="I8" s="88"/>
      <c r="J8" s="88"/>
      <c r="K8" s="71"/>
      <c r="L8" s="72"/>
    </row>
    <row r="9" spans="1:12" ht="24.95" customHeight="1" thickBot="1" x14ac:dyDescent="0.25">
      <c r="A9" s="73">
        <v>616.6</v>
      </c>
      <c r="B9" s="75">
        <v>25</v>
      </c>
      <c r="C9" s="76"/>
      <c r="D9" s="42">
        <f>AVERAGE(B13:E24)</f>
        <v>4.8928571428571432</v>
      </c>
      <c r="E9" s="44"/>
      <c r="F9" s="61">
        <f>AVERAGE(I13,I15,I17,I19)</f>
        <v>3.5333333333333332</v>
      </c>
      <c r="G9" s="62"/>
      <c r="H9" s="79">
        <f>AVERAGE(K13,K15,K17,K19)</f>
        <v>96.466666666666654</v>
      </c>
      <c r="I9" s="80"/>
      <c r="J9" s="81"/>
      <c r="K9" s="79">
        <f>AVERAGE(L13,L15,L17,L19)</f>
        <v>0</v>
      </c>
      <c r="L9" s="81"/>
    </row>
    <row r="10" spans="1:12" ht="24.95" customHeight="1" thickBot="1" x14ac:dyDescent="0.25">
      <c r="A10" s="74"/>
      <c r="B10" s="77"/>
      <c r="C10" s="78"/>
      <c r="D10" s="48"/>
      <c r="E10" s="50"/>
      <c r="F10" s="3">
        <f>AVERAGE(I14,I16,I18,I20)</f>
        <v>1.8333333333333333</v>
      </c>
      <c r="G10" s="3">
        <f>AVERAGE(J14,J16,J18,J20)</f>
        <v>1.7</v>
      </c>
      <c r="H10" s="82"/>
      <c r="I10" s="83"/>
      <c r="J10" s="84"/>
      <c r="K10" s="82"/>
      <c r="L10" s="84"/>
    </row>
    <row r="11" spans="1:12" ht="24.95" customHeight="1" thickBot="1" x14ac:dyDescent="0.25">
      <c r="A11" s="67" t="s">
        <v>8</v>
      </c>
      <c r="B11" s="69" t="s">
        <v>7</v>
      </c>
      <c r="C11" s="70"/>
      <c r="D11" s="69" t="s">
        <v>6</v>
      </c>
      <c r="E11" s="70"/>
      <c r="F11" s="69" t="s">
        <v>5</v>
      </c>
      <c r="G11" s="87"/>
      <c r="H11" s="70"/>
      <c r="I11" s="89" t="s">
        <v>4</v>
      </c>
      <c r="J11" s="90"/>
      <c r="K11" s="85" t="s">
        <v>3</v>
      </c>
      <c r="L11" s="70" t="s">
        <v>2</v>
      </c>
    </row>
    <row r="12" spans="1:12" ht="24.95" customHeight="1" thickBot="1" x14ac:dyDescent="0.25">
      <c r="A12" s="68"/>
      <c r="B12" s="71"/>
      <c r="C12" s="72"/>
      <c r="D12" s="71"/>
      <c r="E12" s="72"/>
      <c r="F12" s="71"/>
      <c r="G12" s="88"/>
      <c r="H12" s="72"/>
      <c r="I12" s="5" t="s">
        <v>1</v>
      </c>
      <c r="J12" s="22" t="s">
        <v>0</v>
      </c>
      <c r="K12" s="86"/>
      <c r="L12" s="72"/>
    </row>
    <row r="13" spans="1:12" ht="24.95" customHeight="1" thickBot="1" x14ac:dyDescent="0.25">
      <c r="A13" s="53">
        <v>0.33333333333333331</v>
      </c>
      <c r="B13" s="42">
        <v>9.6199999999999992</v>
      </c>
      <c r="C13" s="44"/>
      <c r="D13" s="42">
        <v>1.97</v>
      </c>
      <c r="E13" s="44"/>
      <c r="F13" s="63">
        <v>12.1</v>
      </c>
      <c r="G13" s="64"/>
      <c r="H13" s="107"/>
      <c r="I13" s="61">
        <v>3.5</v>
      </c>
      <c r="J13" s="62"/>
      <c r="K13" s="39">
        <v>96.5</v>
      </c>
      <c r="L13" s="39">
        <v>0</v>
      </c>
    </row>
    <row r="14" spans="1:12" ht="24.95" customHeight="1" thickBot="1" x14ac:dyDescent="0.25">
      <c r="A14" s="54"/>
      <c r="B14" s="48"/>
      <c r="C14" s="50"/>
      <c r="D14" s="48"/>
      <c r="E14" s="50"/>
      <c r="F14" s="65"/>
      <c r="G14" s="66"/>
      <c r="H14" s="108"/>
      <c r="I14" s="3">
        <v>1.7</v>
      </c>
      <c r="J14" s="23">
        <v>1.8</v>
      </c>
      <c r="K14" s="40"/>
      <c r="L14" s="40"/>
    </row>
    <row r="15" spans="1:12" ht="24.95" customHeight="1" thickBot="1" x14ac:dyDescent="0.25">
      <c r="A15" s="53">
        <v>0.41666666666666669</v>
      </c>
      <c r="B15" s="42">
        <v>6.64</v>
      </c>
      <c r="C15" s="44"/>
      <c r="D15" s="42"/>
      <c r="E15" s="44"/>
      <c r="F15" s="63">
        <v>9.66</v>
      </c>
      <c r="G15" s="64"/>
      <c r="H15" s="107"/>
      <c r="I15" s="61">
        <v>3.3</v>
      </c>
      <c r="J15" s="62"/>
      <c r="K15" s="39">
        <v>96.7</v>
      </c>
      <c r="L15" s="39">
        <v>0</v>
      </c>
    </row>
    <row r="16" spans="1:12" ht="24.95" customHeight="1" thickBot="1" x14ac:dyDescent="0.25">
      <c r="A16" s="54"/>
      <c r="B16" s="48"/>
      <c r="C16" s="50"/>
      <c r="D16" s="48"/>
      <c r="E16" s="50"/>
      <c r="F16" s="65"/>
      <c r="G16" s="66"/>
      <c r="H16" s="108"/>
      <c r="I16" s="3">
        <v>1.9</v>
      </c>
      <c r="J16" s="23">
        <v>1.4</v>
      </c>
      <c r="K16" s="40"/>
      <c r="L16" s="40"/>
    </row>
    <row r="17" spans="1:12" ht="24.95" customHeight="1" thickBot="1" x14ac:dyDescent="0.25">
      <c r="A17" s="53">
        <v>0.5</v>
      </c>
      <c r="B17" s="42">
        <v>4.5</v>
      </c>
      <c r="C17" s="44"/>
      <c r="D17" s="42">
        <v>9.34</v>
      </c>
      <c r="E17" s="44"/>
      <c r="F17" s="63"/>
      <c r="G17" s="64"/>
      <c r="H17" s="20"/>
      <c r="I17" s="61"/>
      <c r="J17" s="62"/>
      <c r="K17" s="39"/>
      <c r="L17" s="39"/>
    </row>
    <row r="18" spans="1:12" ht="24.95" customHeight="1" thickBot="1" x14ac:dyDescent="0.25">
      <c r="A18" s="54"/>
      <c r="B18" s="48"/>
      <c r="C18" s="50"/>
      <c r="D18" s="48"/>
      <c r="E18" s="50"/>
      <c r="F18" s="65"/>
      <c r="G18" s="66"/>
      <c r="H18" s="10"/>
      <c r="I18" s="3"/>
      <c r="J18" s="21"/>
      <c r="K18" s="40"/>
      <c r="L18" s="40"/>
    </row>
    <row r="19" spans="1:12" ht="24.95" customHeight="1" thickBot="1" x14ac:dyDescent="0.25">
      <c r="A19" s="53">
        <v>0.58333333333333337</v>
      </c>
      <c r="B19" s="42"/>
      <c r="C19" s="43"/>
      <c r="D19" s="42">
        <v>5.13</v>
      </c>
      <c r="E19" s="44"/>
      <c r="F19" s="63">
        <v>7.74</v>
      </c>
      <c r="G19" s="64"/>
      <c r="H19" s="107"/>
      <c r="I19" s="61">
        <v>3.8</v>
      </c>
      <c r="J19" s="62"/>
      <c r="K19" s="39">
        <v>96.2</v>
      </c>
      <c r="L19" s="39">
        <v>0</v>
      </c>
    </row>
    <row r="20" spans="1:12" ht="24.95" customHeight="1" thickBot="1" x14ac:dyDescent="0.25">
      <c r="A20" s="54"/>
      <c r="B20" s="48"/>
      <c r="C20" s="49"/>
      <c r="D20" s="48"/>
      <c r="E20" s="50"/>
      <c r="F20" s="65"/>
      <c r="G20" s="66"/>
      <c r="H20" s="108"/>
      <c r="I20" s="3">
        <v>1.9</v>
      </c>
      <c r="J20" s="23">
        <v>1.9</v>
      </c>
      <c r="K20" s="40"/>
      <c r="L20" s="40"/>
    </row>
    <row r="21" spans="1:12" ht="50.1" customHeight="1" thickBot="1" x14ac:dyDescent="0.25">
      <c r="A21" s="1">
        <v>0.66666666666666663</v>
      </c>
      <c r="B21" s="41">
        <v>1.95</v>
      </c>
      <c r="C21" s="41"/>
      <c r="D21" s="41">
        <v>3.49</v>
      </c>
      <c r="E21" s="41"/>
      <c r="F21" s="42"/>
      <c r="G21" s="43"/>
      <c r="H21" s="43"/>
      <c r="I21" s="43"/>
      <c r="J21" s="43"/>
      <c r="K21" s="43"/>
      <c r="L21" s="44"/>
    </row>
    <row r="22" spans="1:12" ht="50.1" customHeight="1" thickBot="1" x14ac:dyDescent="0.25">
      <c r="A22" s="1">
        <v>0.83333333333333337</v>
      </c>
      <c r="B22" s="41">
        <v>5.22</v>
      </c>
      <c r="C22" s="41"/>
      <c r="D22" s="41">
        <v>5.1100000000000003</v>
      </c>
      <c r="E22" s="41"/>
      <c r="F22" s="45"/>
      <c r="G22" s="46"/>
      <c r="H22" s="46"/>
      <c r="I22" s="46"/>
      <c r="J22" s="46"/>
      <c r="K22" s="46"/>
      <c r="L22" s="47"/>
    </row>
    <row r="23" spans="1:12" ht="50.1" customHeight="1" thickBot="1" x14ac:dyDescent="0.25">
      <c r="A23" s="1">
        <v>1</v>
      </c>
      <c r="B23" s="51">
        <v>2.04</v>
      </c>
      <c r="C23" s="52"/>
      <c r="D23" s="51">
        <v>4.96</v>
      </c>
      <c r="E23" s="52"/>
      <c r="F23" s="45"/>
      <c r="G23" s="46"/>
      <c r="H23" s="46"/>
      <c r="I23" s="46"/>
      <c r="J23" s="46"/>
      <c r="K23" s="46"/>
      <c r="L23" s="47"/>
    </row>
    <row r="24" spans="1:12" ht="50.1" customHeight="1" thickBot="1" x14ac:dyDescent="0.25">
      <c r="A24" s="1">
        <v>0.16666666666666666</v>
      </c>
      <c r="B24" s="41">
        <v>2.94</v>
      </c>
      <c r="C24" s="41"/>
      <c r="D24" s="41">
        <v>5.59</v>
      </c>
      <c r="E24" s="41"/>
      <c r="F24" s="48"/>
      <c r="G24" s="49"/>
      <c r="H24" s="49"/>
      <c r="I24" s="49"/>
      <c r="J24" s="49"/>
      <c r="K24" s="49"/>
      <c r="L24" s="50"/>
    </row>
  </sheetData>
  <mergeCells count="69"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9:L20"/>
    <mergeCell ref="L15:L16"/>
    <mergeCell ref="A17:A18"/>
    <mergeCell ref="B17:C18"/>
    <mergeCell ref="D17:E18"/>
    <mergeCell ref="F17:G18"/>
    <mergeCell ref="I17:J17"/>
    <mergeCell ref="K17:K18"/>
    <mergeCell ref="L17:L18"/>
    <mergeCell ref="A15:A16"/>
    <mergeCell ref="B15:C16"/>
    <mergeCell ref="D15:E16"/>
    <mergeCell ref="F15:H16"/>
    <mergeCell ref="I15:J15"/>
    <mergeCell ref="K15:K16"/>
    <mergeCell ref="B19:C20"/>
    <mergeCell ref="A19:A20"/>
    <mergeCell ref="F19:H20"/>
    <mergeCell ref="I19:J19"/>
    <mergeCell ref="K19:K20"/>
    <mergeCell ref="D19:E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</mergeCells>
  <conditionalFormatting sqref="D9">
    <cfRule type="cellIs" dxfId="433" priority="24" operator="greaterThan">
      <formula>7</formula>
    </cfRule>
  </conditionalFormatting>
  <conditionalFormatting sqref="F9">
    <cfRule type="cellIs" dxfId="432" priority="23" operator="greaterThan">
      <formula>20</formula>
    </cfRule>
  </conditionalFormatting>
  <conditionalFormatting sqref="H9:J10">
    <cfRule type="cellIs" dxfId="431" priority="22" operator="lessThan">
      <formula>80</formula>
    </cfRule>
  </conditionalFormatting>
  <conditionalFormatting sqref="K9:L10">
    <cfRule type="cellIs" dxfId="430" priority="21" operator="greaterThan">
      <formula>0</formula>
    </cfRule>
  </conditionalFormatting>
  <conditionalFormatting sqref="B24:E24 B23 D23 B22:E22 B21:F21 B15 B19 D13 B13">
    <cfRule type="cellIs" dxfId="429" priority="20" operator="greaterThan">
      <formula>7</formula>
    </cfRule>
  </conditionalFormatting>
  <conditionalFormatting sqref="I15 I13">
    <cfRule type="cellIs" dxfId="428" priority="19" operator="greaterThan">
      <formula>20</formula>
    </cfRule>
  </conditionalFormatting>
  <conditionalFormatting sqref="K15 K13">
    <cfRule type="cellIs" dxfId="427" priority="18" stopIfTrue="1" operator="lessThan">
      <formula>80</formula>
    </cfRule>
  </conditionalFormatting>
  <conditionalFormatting sqref="L15 L13">
    <cfRule type="cellIs" dxfId="426" priority="17" operator="greaterThan">
      <formula>0</formula>
    </cfRule>
  </conditionalFormatting>
  <conditionalFormatting sqref="F15 F19 F13">
    <cfRule type="cellIs" dxfId="425" priority="16" stopIfTrue="1" operator="greaterThan">
      <formula>10</formula>
    </cfRule>
  </conditionalFormatting>
  <conditionalFormatting sqref="K19">
    <cfRule type="cellIs" dxfId="424" priority="15" stopIfTrue="1" operator="lessThan">
      <formula>80</formula>
    </cfRule>
  </conditionalFormatting>
  <conditionalFormatting sqref="I14:J14">
    <cfRule type="cellIs" dxfId="423" priority="14" operator="greaterThan">
      <formula>20</formula>
    </cfRule>
  </conditionalFormatting>
  <conditionalFormatting sqref="J16">
    <cfRule type="cellIs" dxfId="422" priority="13" operator="greaterThan">
      <formula>20</formula>
    </cfRule>
  </conditionalFormatting>
  <conditionalFormatting sqref="I16:I17">
    <cfRule type="cellIs" dxfId="421" priority="12" operator="greaterThan">
      <formula>20</formula>
    </cfRule>
  </conditionalFormatting>
  <conditionalFormatting sqref="I18">
    <cfRule type="cellIs" dxfId="420" priority="11" operator="greaterThan">
      <formula>20</formula>
    </cfRule>
  </conditionalFormatting>
  <conditionalFormatting sqref="I19">
    <cfRule type="cellIs" dxfId="419" priority="10" operator="greaterThan">
      <formula>20</formula>
    </cfRule>
  </conditionalFormatting>
  <conditionalFormatting sqref="I20">
    <cfRule type="cellIs" dxfId="418" priority="9" operator="greaterThan">
      <formula>20</formula>
    </cfRule>
  </conditionalFormatting>
  <conditionalFormatting sqref="J20">
    <cfRule type="cellIs" dxfId="417" priority="8" operator="greaterThan">
      <formula>20</formula>
    </cfRule>
  </conditionalFormatting>
  <conditionalFormatting sqref="D15">
    <cfRule type="cellIs" dxfId="416" priority="7" operator="greaterThan">
      <formula>7</formula>
    </cfRule>
  </conditionalFormatting>
  <conditionalFormatting sqref="D17">
    <cfRule type="cellIs" dxfId="415" priority="6" operator="greaterThan">
      <formula>7</formula>
    </cfRule>
  </conditionalFormatting>
  <conditionalFormatting sqref="B17">
    <cfRule type="cellIs" dxfId="414" priority="5" operator="greaterThan">
      <formula>7</formula>
    </cfRule>
  </conditionalFormatting>
  <conditionalFormatting sqref="K17">
    <cfRule type="cellIs" dxfId="413" priority="4" stopIfTrue="1" operator="lessThan">
      <formula>80</formula>
    </cfRule>
  </conditionalFormatting>
  <conditionalFormatting sqref="L17">
    <cfRule type="cellIs" dxfId="412" priority="3" operator="greaterThan">
      <formula>0</formula>
    </cfRule>
  </conditionalFormatting>
  <conditionalFormatting sqref="L19">
    <cfRule type="cellIs" dxfId="411" priority="2" operator="greaterThan">
      <formula>0</formula>
    </cfRule>
  </conditionalFormatting>
  <conditionalFormatting sqref="F17">
    <cfRule type="cellIs" dxfId="410" priority="1" stopIfTrue="1" operator="greaterThan">
      <formula>10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topLeftCell="A6" zoomScale="80" zoomScaleNormal="100" zoomScaleSheetLayoutView="80" zoomScalePageLayoutView="80" workbookViewId="0">
      <selection activeCell="H9" sqref="H9:J10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100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2"/>
    </row>
    <row r="2" spans="1:12" ht="40.5" customHeight="1" x14ac:dyDescent="0.2">
      <c r="A2" s="103" t="s">
        <v>25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5"/>
    </row>
    <row r="3" spans="1:12" ht="40.5" customHeight="1" x14ac:dyDescent="0.2">
      <c r="A3" s="106" t="s">
        <v>24</v>
      </c>
      <c r="B3" s="106"/>
      <c r="C3" s="106" t="s">
        <v>23</v>
      </c>
      <c r="D3" s="106"/>
      <c r="E3" s="106" t="s">
        <v>22</v>
      </c>
      <c r="F3" s="106"/>
      <c r="G3" s="106"/>
      <c r="H3" s="106" t="s">
        <v>21</v>
      </c>
      <c r="I3" s="106"/>
      <c r="J3" s="106"/>
      <c r="K3" s="106" t="s">
        <v>20</v>
      </c>
      <c r="L3" s="106"/>
    </row>
    <row r="4" spans="1:12" ht="40.5" customHeight="1" x14ac:dyDescent="0.2">
      <c r="A4" s="91">
        <v>48527531</v>
      </c>
      <c r="B4" s="91"/>
      <c r="C4" s="91"/>
      <c r="D4" s="91"/>
      <c r="E4" s="91" t="s">
        <v>41</v>
      </c>
      <c r="F4" s="91"/>
      <c r="G4" s="91"/>
      <c r="H4" s="91" t="s">
        <v>19</v>
      </c>
      <c r="I4" s="91"/>
      <c r="J4" s="91"/>
      <c r="K4" s="92" t="s">
        <v>18</v>
      </c>
      <c r="L4" s="92"/>
    </row>
    <row r="5" spans="1:12" ht="40.5" customHeight="1" thickBot="1" x14ac:dyDescent="0.25">
      <c r="A5" s="97" t="s">
        <v>17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67" t="s">
        <v>16</v>
      </c>
      <c r="B7" s="93" t="s">
        <v>15</v>
      </c>
      <c r="C7" s="94"/>
      <c r="D7" s="87" t="s">
        <v>14</v>
      </c>
      <c r="E7" s="87"/>
      <c r="F7" s="89" t="s">
        <v>13</v>
      </c>
      <c r="G7" s="90"/>
      <c r="H7" s="87" t="s">
        <v>12</v>
      </c>
      <c r="I7" s="87"/>
      <c r="J7" s="87"/>
      <c r="K7" s="69" t="s">
        <v>11</v>
      </c>
      <c r="L7" s="70"/>
    </row>
    <row r="8" spans="1:12" ht="24.95" customHeight="1" thickBot="1" x14ac:dyDescent="0.25">
      <c r="A8" s="68"/>
      <c r="B8" s="95"/>
      <c r="C8" s="96"/>
      <c r="D8" s="88"/>
      <c r="E8" s="88"/>
      <c r="F8" s="5" t="s">
        <v>10</v>
      </c>
      <c r="G8" s="5" t="s">
        <v>9</v>
      </c>
      <c r="H8" s="88"/>
      <c r="I8" s="88"/>
      <c r="J8" s="88"/>
      <c r="K8" s="71"/>
      <c r="L8" s="72"/>
    </row>
    <row r="9" spans="1:12" ht="24.95" customHeight="1" thickBot="1" x14ac:dyDescent="0.25">
      <c r="A9" s="73">
        <v>350.4</v>
      </c>
      <c r="B9" s="75">
        <v>14</v>
      </c>
      <c r="C9" s="76"/>
      <c r="D9" s="42">
        <f>AVERAGE(B13:E24)</f>
        <v>3.1166666666666667</v>
      </c>
      <c r="E9" s="44"/>
      <c r="F9" s="61">
        <v>4.4000000000000004</v>
      </c>
      <c r="G9" s="62"/>
      <c r="H9" s="79">
        <v>95.6</v>
      </c>
      <c r="I9" s="80"/>
      <c r="J9" s="81"/>
      <c r="K9" s="79">
        <f>AVERAGE(L13,L15,L17,L19)</f>
        <v>0</v>
      </c>
      <c r="L9" s="81"/>
    </row>
    <row r="10" spans="1:12" ht="24.95" customHeight="1" thickBot="1" x14ac:dyDescent="0.25">
      <c r="A10" s="74"/>
      <c r="B10" s="77"/>
      <c r="C10" s="78"/>
      <c r="D10" s="48"/>
      <c r="E10" s="50"/>
      <c r="F10" s="3">
        <f>AVERAGE(I14,I16,I18,I20)</f>
        <v>2.2666666666666666</v>
      </c>
      <c r="G10" s="3">
        <f>AVERAGE(J14,J16,J18,J20)</f>
        <v>2.0666666666666669</v>
      </c>
      <c r="H10" s="82"/>
      <c r="I10" s="83"/>
      <c r="J10" s="84"/>
      <c r="K10" s="82"/>
      <c r="L10" s="84"/>
    </row>
    <row r="11" spans="1:12" ht="24.95" customHeight="1" thickBot="1" x14ac:dyDescent="0.25">
      <c r="A11" s="67" t="s">
        <v>8</v>
      </c>
      <c r="B11" s="69" t="s">
        <v>7</v>
      </c>
      <c r="C11" s="70"/>
      <c r="D11" s="69" t="s">
        <v>6</v>
      </c>
      <c r="E11" s="70"/>
      <c r="F11" s="69" t="s">
        <v>5</v>
      </c>
      <c r="G11" s="87"/>
      <c r="H11" s="70"/>
      <c r="I11" s="89" t="s">
        <v>4</v>
      </c>
      <c r="J11" s="90"/>
      <c r="K11" s="85" t="s">
        <v>3</v>
      </c>
      <c r="L11" s="70" t="s">
        <v>2</v>
      </c>
    </row>
    <row r="12" spans="1:12" ht="24.95" customHeight="1" thickBot="1" x14ac:dyDescent="0.25">
      <c r="A12" s="68"/>
      <c r="B12" s="71"/>
      <c r="C12" s="72"/>
      <c r="D12" s="71"/>
      <c r="E12" s="72"/>
      <c r="F12" s="71"/>
      <c r="G12" s="88"/>
      <c r="H12" s="72"/>
      <c r="I12" s="5" t="s">
        <v>1</v>
      </c>
      <c r="J12" s="22" t="s">
        <v>0</v>
      </c>
      <c r="K12" s="86"/>
      <c r="L12" s="72"/>
    </row>
    <row r="13" spans="1:12" ht="24.95" customHeight="1" thickBot="1" x14ac:dyDescent="0.25">
      <c r="A13" s="53">
        <v>0.33333333333333331</v>
      </c>
      <c r="B13" s="42">
        <v>6.03</v>
      </c>
      <c r="C13" s="44"/>
      <c r="D13" s="42">
        <v>5.17</v>
      </c>
      <c r="E13" s="44"/>
      <c r="F13" s="110">
        <v>9.8699999999999992</v>
      </c>
      <c r="G13" s="111"/>
      <c r="H13" s="112"/>
      <c r="I13" s="61">
        <v>4.4000000000000004</v>
      </c>
      <c r="J13" s="62"/>
      <c r="K13" s="39">
        <v>95.6</v>
      </c>
      <c r="L13" s="39">
        <v>0</v>
      </c>
    </row>
    <row r="14" spans="1:12" ht="24.95" customHeight="1" thickBot="1" x14ac:dyDescent="0.25">
      <c r="A14" s="54"/>
      <c r="B14" s="48"/>
      <c r="C14" s="50"/>
      <c r="D14" s="48"/>
      <c r="E14" s="50"/>
      <c r="F14" s="113"/>
      <c r="G14" s="114"/>
      <c r="H14" s="115"/>
      <c r="I14" s="3">
        <v>2.2000000000000002</v>
      </c>
      <c r="J14" s="23">
        <v>2.2000000000000002</v>
      </c>
      <c r="K14" s="40"/>
      <c r="L14" s="40"/>
    </row>
    <row r="15" spans="1:12" ht="24.95" customHeight="1" thickBot="1" x14ac:dyDescent="0.25">
      <c r="A15" s="53">
        <v>0.41666666666666669</v>
      </c>
      <c r="B15" s="42"/>
      <c r="C15" s="44"/>
      <c r="D15" s="42"/>
      <c r="E15" s="44"/>
      <c r="F15" s="110">
        <v>10</v>
      </c>
      <c r="G15" s="111"/>
      <c r="H15" s="112"/>
      <c r="I15" s="61">
        <v>4.2</v>
      </c>
      <c r="J15" s="62"/>
      <c r="K15" s="39">
        <v>95.8</v>
      </c>
      <c r="L15" s="39">
        <v>0</v>
      </c>
    </row>
    <row r="16" spans="1:12" ht="24.95" customHeight="1" thickBot="1" x14ac:dyDescent="0.25">
      <c r="A16" s="54"/>
      <c r="B16" s="48"/>
      <c r="C16" s="50"/>
      <c r="D16" s="48"/>
      <c r="E16" s="50"/>
      <c r="F16" s="113"/>
      <c r="G16" s="114"/>
      <c r="H16" s="115"/>
      <c r="I16" s="3">
        <v>2.4</v>
      </c>
      <c r="J16" s="23">
        <v>1.8</v>
      </c>
      <c r="K16" s="40"/>
      <c r="L16" s="40"/>
    </row>
    <row r="17" spans="1:12" ht="24.95" customHeight="1" thickBot="1" x14ac:dyDescent="0.25">
      <c r="A17" s="53">
        <v>0.5</v>
      </c>
      <c r="B17" s="42">
        <v>4.54</v>
      </c>
      <c r="C17" s="44"/>
      <c r="D17" s="42">
        <v>2.21</v>
      </c>
      <c r="E17" s="44"/>
      <c r="F17" s="110"/>
      <c r="G17" s="111"/>
      <c r="H17" s="34"/>
      <c r="I17" s="61"/>
      <c r="J17" s="62"/>
      <c r="K17" s="39"/>
      <c r="L17" s="39"/>
    </row>
    <row r="18" spans="1:12" ht="24.95" customHeight="1" thickBot="1" x14ac:dyDescent="0.25">
      <c r="A18" s="54"/>
      <c r="B18" s="48"/>
      <c r="C18" s="50"/>
      <c r="D18" s="48"/>
      <c r="E18" s="50"/>
      <c r="F18" s="113"/>
      <c r="G18" s="114"/>
      <c r="H18" s="35"/>
      <c r="I18" s="3"/>
      <c r="J18" s="21"/>
      <c r="K18" s="40"/>
      <c r="L18" s="40"/>
    </row>
    <row r="19" spans="1:12" ht="24.95" customHeight="1" thickBot="1" x14ac:dyDescent="0.25">
      <c r="A19" s="53">
        <v>0.58333333333333337</v>
      </c>
      <c r="B19" s="42"/>
      <c r="C19" s="43"/>
      <c r="D19" s="43"/>
      <c r="E19" s="44"/>
      <c r="F19" s="110">
        <v>12.18</v>
      </c>
      <c r="G19" s="111"/>
      <c r="H19" s="112"/>
      <c r="I19" s="61">
        <v>4.4000000000000004</v>
      </c>
      <c r="J19" s="62"/>
      <c r="K19" s="39">
        <v>95.6</v>
      </c>
      <c r="L19" s="39">
        <v>0</v>
      </c>
    </row>
    <row r="20" spans="1:12" ht="24.95" customHeight="1" thickBot="1" x14ac:dyDescent="0.25">
      <c r="A20" s="54"/>
      <c r="B20" s="48"/>
      <c r="C20" s="49"/>
      <c r="D20" s="49"/>
      <c r="E20" s="50"/>
      <c r="F20" s="113"/>
      <c r="G20" s="114"/>
      <c r="H20" s="115"/>
      <c r="I20" s="3">
        <v>2.2000000000000002</v>
      </c>
      <c r="J20" s="23">
        <v>2.2000000000000002</v>
      </c>
      <c r="K20" s="40"/>
      <c r="L20" s="40"/>
    </row>
    <row r="21" spans="1:12" ht="50.1" customHeight="1" thickBot="1" x14ac:dyDescent="0.25">
      <c r="A21" s="1">
        <v>0.66666666666666663</v>
      </c>
      <c r="B21" s="41">
        <v>4.49</v>
      </c>
      <c r="C21" s="41"/>
      <c r="D21" s="41">
        <v>0.79</v>
      </c>
      <c r="E21" s="41"/>
      <c r="F21" s="42"/>
      <c r="G21" s="43"/>
      <c r="H21" s="43"/>
      <c r="I21" s="43"/>
      <c r="J21" s="43"/>
      <c r="K21" s="43"/>
      <c r="L21" s="44"/>
    </row>
    <row r="22" spans="1:12" ht="50.1" customHeight="1" thickBot="1" x14ac:dyDescent="0.25">
      <c r="A22" s="1">
        <v>0.83333333333333337</v>
      </c>
      <c r="B22" s="41">
        <v>1.03</v>
      </c>
      <c r="C22" s="41"/>
      <c r="D22" s="41">
        <v>2.64</v>
      </c>
      <c r="E22" s="41"/>
      <c r="F22" s="45"/>
      <c r="G22" s="46"/>
      <c r="H22" s="46"/>
      <c r="I22" s="46"/>
      <c r="J22" s="46"/>
      <c r="K22" s="46"/>
      <c r="L22" s="47"/>
    </row>
    <row r="23" spans="1:12" ht="50.1" customHeight="1" thickBot="1" x14ac:dyDescent="0.25">
      <c r="A23" s="1">
        <v>1</v>
      </c>
      <c r="B23" s="51">
        <v>2.12</v>
      </c>
      <c r="C23" s="52"/>
      <c r="D23" s="51">
        <v>0.85</v>
      </c>
      <c r="E23" s="52"/>
      <c r="F23" s="45"/>
      <c r="G23" s="46"/>
      <c r="H23" s="46"/>
      <c r="I23" s="46"/>
      <c r="J23" s="46"/>
      <c r="K23" s="46"/>
      <c r="L23" s="47"/>
    </row>
    <row r="24" spans="1:12" ht="50.1" customHeight="1" thickBot="1" x14ac:dyDescent="0.25">
      <c r="A24" s="1">
        <v>0.16666666666666666</v>
      </c>
      <c r="B24" s="41">
        <v>4.91</v>
      </c>
      <c r="C24" s="41"/>
      <c r="D24" s="41">
        <v>2.62</v>
      </c>
      <c r="E24" s="41"/>
      <c r="F24" s="48"/>
      <c r="G24" s="49"/>
      <c r="H24" s="49"/>
      <c r="I24" s="49"/>
      <c r="J24" s="49"/>
      <c r="K24" s="49"/>
      <c r="L24" s="50"/>
    </row>
  </sheetData>
  <mergeCells count="68"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17:K18"/>
    <mergeCell ref="L17:L18"/>
    <mergeCell ref="A15:A16"/>
    <mergeCell ref="B15:C16"/>
    <mergeCell ref="D15:E16"/>
    <mergeCell ref="F15:H16"/>
    <mergeCell ref="I15:J15"/>
    <mergeCell ref="K15:K16"/>
    <mergeCell ref="A17:A18"/>
    <mergeCell ref="B17:C18"/>
    <mergeCell ref="D17:E18"/>
    <mergeCell ref="F17:G18"/>
    <mergeCell ref="I17:J17"/>
    <mergeCell ref="B19:E20"/>
    <mergeCell ref="F19:H20"/>
    <mergeCell ref="I19:J19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  <mergeCell ref="L19:L20"/>
  </mergeCells>
  <conditionalFormatting sqref="D9">
    <cfRule type="cellIs" dxfId="409" priority="24" operator="greaterThan">
      <formula>7</formula>
    </cfRule>
  </conditionalFormatting>
  <conditionalFormatting sqref="F9">
    <cfRule type="cellIs" dxfId="408" priority="23" operator="greaterThan">
      <formula>20</formula>
    </cfRule>
  </conditionalFormatting>
  <conditionalFormatting sqref="H9:J10">
    <cfRule type="cellIs" dxfId="407" priority="22" operator="lessThan">
      <formula>80</formula>
    </cfRule>
  </conditionalFormatting>
  <conditionalFormatting sqref="K9:L10">
    <cfRule type="cellIs" dxfId="406" priority="21" operator="greaterThan">
      <formula>0</formula>
    </cfRule>
  </conditionalFormatting>
  <conditionalFormatting sqref="B24:E24 B23 D23 B22:E22 B21:F21 B15 B19 D13 B13">
    <cfRule type="cellIs" dxfId="405" priority="20" operator="greaterThan">
      <formula>7</formula>
    </cfRule>
  </conditionalFormatting>
  <conditionalFormatting sqref="I15 I13">
    <cfRule type="cellIs" dxfId="404" priority="19" operator="greaterThan">
      <formula>20</formula>
    </cfRule>
  </conditionalFormatting>
  <conditionalFormatting sqref="K15 K13">
    <cfRule type="cellIs" dxfId="403" priority="18" stopIfTrue="1" operator="lessThan">
      <formula>80</formula>
    </cfRule>
  </conditionalFormatting>
  <conditionalFormatting sqref="L15 L13">
    <cfRule type="cellIs" dxfId="402" priority="17" operator="greaterThan">
      <formula>0</formula>
    </cfRule>
  </conditionalFormatting>
  <conditionalFormatting sqref="F15 F19 F13">
    <cfRule type="cellIs" dxfId="401" priority="16" stopIfTrue="1" operator="greaterThan">
      <formula>10</formula>
    </cfRule>
  </conditionalFormatting>
  <conditionalFormatting sqref="K19">
    <cfRule type="cellIs" dxfId="400" priority="15" stopIfTrue="1" operator="lessThan">
      <formula>80</formula>
    </cfRule>
  </conditionalFormatting>
  <conditionalFormatting sqref="I14:J14">
    <cfRule type="cellIs" dxfId="399" priority="14" operator="greaterThan">
      <formula>20</formula>
    </cfRule>
  </conditionalFormatting>
  <conditionalFormatting sqref="J16">
    <cfRule type="cellIs" dxfId="398" priority="13" operator="greaterThan">
      <formula>20</formula>
    </cfRule>
  </conditionalFormatting>
  <conditionalFormatting sqref="I16:I17">
    <cfRule type="cellIs" dxfId="397" priority="12" operator="greaterThan">
      <formula>20</formula>
    </cfRule>
  </conditionalFormatting>
  <conditionalFormatting sqref="I18">
    <cfRule type="cellIs" dxfId="396" priority="11" operator="greaterThan">
      <formula>20</formula>
    </cfRule>
  </conditionalFormatting>
  <conditionalFormatting sqref="I19">
    <cfRule type="cellIs" dxfId="395" priority="10" operator="greaterThan">
      <formula>20</formula>
    </cfRule>
  </conditionalFormatting>
  <conditionalFormatting sqref="I20">
    <cfRule type="cellIs" dxfId="394" priority="9" operator="greaterThan">
      <formula>20</formula>
    </cfRule>
  </conditionalFormatting>
  <conditionalFormatting sqref="J20">
    <cfRule type="cellIs" dxfId="393" priority="8" operator="greaterThan">
      <formula>20</formula>
    </cfRule>
  </conditionalFormatting>
  <conditionalFormatting sqref="D15">
    <cfRule type="cellIs" dxfId="392" priority="7" operator="greaterThan">
      <formula>7</formula>
    </cfRule>
  </conditionalFormatting>
  <conditionalFormatting sqref="D17">
    <cfRule type="cellIs" dxfId="391" priority="6" operator="greaterThan">
      <formula>7</formula>
    </cfRule>
  </conditionalFormatting>
  <conditionalFormatting sqref="B17">
    <cfRule type="cellIs" dxfId="390" priority="5" operator="greaterThan">
      <formula>7</formula>
    </cfRule>
  </conditionalFormatting>
  <conditionalFormatting sqref="K17">
    <cfRule type="cellIs" dxfId="389" priority="4" stopIfTrue="1" operator="lessThan">
      <formula>80</formula>
    </cfRule>
  </conditionalFormatting>
  <conditionalFormatting sqref="L17">
    <cfRule type="cellIs" dxfId="388" priority="3" operator="greaterThan">
      <formula>0</formula>
    </cfRule>
  </conditionalFormatting>
  <conditionalFormatting sqref="L19">
    <cfRule type="cellIs" dxfId="387" priority="2" operator="greaterThan">
      <formula>0</formula>
    </cfRule>
  </conditionalFormatting>
  <conditionalFormatting sqref="F17">
    <cfRule type="cellIs" dxfId="386" priority="1" stopIfTrue="1" operator="greaterThan">
      <formula>10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topLeftCell="A2" zoomScale="90" zoomScaleNormal="100" zoomScaleSheetLayoutView="90" zoomScalePageLayoutView="80" workbookViewId="0">
      <selection activeCell="D24" sqref="D24:E24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100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2"/>
    </row>
    <row r="2" spans="1:12" ht="40.5" customHeight="1" x14ac:dyDescent="0.2">
      <c r="A2" s="103" t="s">
        <v>25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5"/>
    </row>
    <row r="3" spans="1:12" ht="40.5" customHeight="1" x14ac:dyDescent="0.2">
      <c r="A3" s="106" t="s">
        <v>24</v>
      </c>
      <c r="B3" s="106"/>
      <c r="C3" s="106" t="s">
        <v>23</v>
      </c>
      <c r="D3" s="106"/>
      <c r="E3" s="106" t="s">
        <v>22</v>
      </c>
      <c r="F3" s="106"/>
      <c r="G3" s="106"/>
      <c r="H3" s="106" t="s">
        <v>21</v>
      </c>
      <c r="I3" s="106"/>
      <c r="J3" s="106"/>
      <c r="K3" s="106" t="s">
        <v>20</v>
      </c>
      <c r="L3" s="106"/>
    </row>
    <row r="4" spans="1:12" ht="40.5" customHeight="1" x14ac:dyDescent="0.2">
      <c r="A4" s="91">
        <v>48527531</v>
      </c>
      <c r="B4" s="91"/>
      <c r="C4" s="91"/>
      <c r="D4" s="91"/>
      <c r="E4" s="91" t="s">
        <v>42</v>
      </c>
      <c r="F4" s="91"/>
      <c r="G4" s="91"/>
      <c r="H4" s="91" t="s">
        <v>19</v>
      </c>
      <c r="I4" s="91"/>
      <c r="J4" s="91"/>
      <c r="K4" s="92" t="s">
        <v>18</v>
      </c>
      <c r="L4" s="92"/>
    </row>
    <row r="5" spans="1:12" ht="40.5" customHeight="1" thickBot="1" x14ac:dyDescent="0.25">
      <c r="A5" s="97" t="s">
        <v>17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67" t="s">
        <v>16</v>
      </c>
      <c r="B7" s="93" t="s">
        <v>15</v>
      </c>
      <c r="C7" s="94"/>
      <c r="D7" s="87" t="s">
        <v>14</v>
      </c>
      <c r="E7" s="87"/>
      <c r="F7" s="89" t="s">
        <v>13</v>
      </c>
      <c r="G7" s="90"/>
      <c r="H7" s="87" t="s">
        <v>12</v>
      </c>
      <c r="I7" s="87"/>
      <c r="J7" s="87"/>
      <c r="K7" s="69" t="s">
        <v>11</v>
      </c>
      <c r="L7" s="70"/>
    </row>
    <row r="8" spans="1:12" ht="24.95" customHeight="1" thickBot="1" x14ac:dyDescent="0.25">
      <c r="A8" s="68"/>
      <c r="B8" s="95"/>
      <c r="C8" s="96"/>
      <c r="D8" s="88"/>
      <c r="E8" s="88"/>
      <c r="F8" s="5" t="s">
        <v>10</v>
      </c>
      <c r="G8" s="5" t="s">
        <v>9</v>
      </c>
      <c r="H8" s="88"/>
      <c r="I8" s="88"/>
      <c r="J8" s="88"/>
      <c r="K8" s="71"/>
      <c r="L8" s="72"/>
    </row>
    <row r="9" spans="1:12" ht="24.95" customHeight="1" thickBot="1" x14ac:dyDescent="0.25">
      <c r="A9" s="73">
        <v>778.8</v>
      </c>
      <c r="B9" s="75">
        <v>31</v>
      </c>
      <c r="C9" s="76"/>
      <c r="D9" s="42">
        <f>AVERAGE(B13:E24)</f>
        <v>3.6175000000000002</v>
      </c>
      <c r="E9" s="44"/>
      <c r="F9" s="61">
        <f>AVERAGE(I13,I15,I17,I19)</f>
        <v>7.3999999999999995</v>
      </c>
      <c r="G9" s="62"/>
      <c r="H9" s="79">
        <f>AVERAGE(K13,K15,K17,K19)</f>
        <v>92.600000000000009</v>
      </c>
      <c r="I9" s="80"/>
      <c r="J9" s="81"/>
      <c r="K9" s="79">
        <f>AVERAGE(L13,L15,L17,L19)</f>
        <v>0</v>
      </c>
      <c r="L9" s="81"/>
    </row>
    <row r="10" spans="1:12" ht="24.95" customHeight="1" thickBot="1" x14ac:dyDescent="0.25">
      <c r="A10" s="74"/>
      <c r="B10" s="77"/>
      <c r="C10" s="78"/>
      <c r="D10" s="48"/>
      <c r="E10" s="50"/>
      <c r="F10" s="3">
        <f>AVERAGE(I14,I16,I18,I20)</f>
        <v>4.166666666666667</v>
      </c>
      <c r="G10" s="3">
        <f>AVERAGE(J14,J16,J18,J20)</f>
        <v>3.2333333333333329</v>
      </c>
      <c r="H10" s="82"/>
      <c r="I10" s="83"/>
      <c r="J10" s="84"/>
      <c r="K10" s="82"/>
      <c r="L10" s="84"/>
    </row>
    <row r="11" spans="1:12" ht="24.95" customHeight="1" thickBot="1" x14ac:dyDescent="0.25">
      <c r="A11" s="67" t="s">
        <v>8</v>
      </c>
      <c r="B11" s="69" t="s">
        <v>7</v>
      </c>
      <c r="C11" s="70"/>
      <c r="D11" s="69" t="s">
        <v>6</v>
      </c>
      <c r="E11" s="70"/>
      <c r="F11" s="69" t="s">
        <v>5</v>
      </c>
      <c r="G11" s="87"/>
      <c r="H11" s="70"/>
      <c r="I11" s="89" t="s">
        <v>4</v>
      </c>
      <c r="J11" s="90"/>
      <c r="K11" s="85" t="s">
        <v>3</v>
      </c>
      <c r="L11" s="70" t="s">
        <v>2</v>
      </c>
    </row>
    <row r="12" spans="1:12" ht="24.95" customHeight="1" thickBot="1" x14ac:dyDescent="0.25">
      <c r="A12" s="68"/>
      <c r="B12" s="71"/>
      <c r="C12" s="72"/>
      <c r="D12" s="71"/>
      <c r="E12" s="72"/>
      <c r="F12" s="71"/>
      <c r="G12" s="88"/>
      <c r="H12" s="72"/>
      <c r="I12" s="5" t="s">
        <v>1</v>
      </c>
      <c r="J12" s="22" t="s">
        <v>0</v>
      </c>
      <c r="K12" s="86"/>
      <c r="L12" s="72"/>
    </row>
    <row r="13" spans="1:12" ht="24.95" customHeight="1" thickBot="1" x14ac:dyDescent="0.25">
      <c r="A13" s="53">
        <v>0.33333333333333331</v>
      </c>
      <c r="B13" s="42">
        <v>7.04</v>
      </c>
      <c r="C13" s="44"/>
      <c r="D13" s="42">
        <v>1.83</v>
      </c>
      <c r="E13" s="44"/>
      <c r="F13" s="63">
        <v>12.61</v>
      </c>
      <c r="G13" s="64"/>
      <c r="H13" s="107"/>
      <c r="I13" s="61">
        <v>4.8</v>
      </c>
      <c r="J13" s="62"/>
      <c r="K13" s="39">
        <v>95.2</v>
      </c>
      <c r="L13" s="39">
        <v>0</v>
      </c>
    </row>
    <row r="14" spans="1:12" ht="24.95" customHeight="1" thickBot="1" x14ac:dyDescent="0.25">
      <c r="A14" s="54"/>
      <c r="B14" s="48"/>
      <c r="C14" s="50"/>
      <c r="D14" s="48"/>
      <c r="E14" s="50"/>
      <c r="F14" s="65"/>
      <c r="G14" s="66"/>
      <c r="H14" s="108"/>
      <c r="I14" s="3">
        <v>2.2000000000000002</v>
      </c>
      <c r="J14" s="23">
        <v>2.6</v>
      </c>
      <c r="K14" s="40"/>
      <c r="L14" s="40"/>
    </row>
    <row r="15" spans="1:12" ht="24.95" customHeight="1" thickBot="1" x14ac:dyDescent="0.25">
      <c r="A15" s="53">
        <v>0.41666666666666669</v>
      </c>
      <c r="B15" s="42"/>
      <c r="C15" s="44"/>
      <c r="D15" s="42"/>
      <c r="E15" s="44"/>
      <c r="F15" s="63">
        <v>6.65</v>
      </c>
      <c r="G15" s="64"/>
      <c r="H15" s="107"/>
      <c r="I15" s="61">
        <v>12.7</v>
      </c>
      <c r="J15" s="62"/>
      <c r="K15" s="39">
        <v>87.3</v>
      </c>
      <c r="L15" s="39">
        <v>0</v>
      </c>
    </row>
    <row r="16" spans="1:12" ht="24.95" customHeight="1" thickBot="1" x14ac:dyDescent="0.25">
      <c r="A16" s="54"/>
      <c r="B16" s="48"/>
      <c r="C16" s="50"/>
      <c r="D16" s="48"/>
      <c r="E16" s="50"/>
      <c r="F16" s="65"/>
      <c r="G16" s="66"/>
      <c r="H16" s="108"/>
      <c r="I16" s="3">
        <v>7.8</v>
      </c>
      <c r="J16" s="23">
        <v>4.9000000000000004</v>
      </c>
      <c r="K16" s="40"/>
      <c r="L16" s="40"/>
    </row>
    <row r="17" spans="1:12" ht="24.95" customHeight="1" thickBot="1" x14ac:dyDescent="0.25">
      <c r="A17" s="53">
        <v>0.5</v>
      </c>
      <c r="B17" s="42">
        <v>3.69</v>
      </c>
      <c r="C17" s="44"/>
      <c r="D17" s="42">
        <v>3.49</v>
      </c>
      <c r="E17" s="44"/>
      <c r="F17" s="63"/>
      <c r="G17" s="64"/>
      <c r="H17" s="20"/>
      <c r="I17" s="61"/>
      <c r="J17" s="62"/>
      <c r="K17" s="39"/>
      <c r="L17" s="39"/>
    </row>
    <row r="18" spans="1:12" ht="24.95" customHeight="1" thickBot="1" x14ac:dyDescent="0.25">
      <c r="A18" s="54"/>
      <c r="B18" s="48"/>
      <c r="C18" s="50"/>
      <c r="D18" s="48"/>
      <c r="E18" s="50"/>
      <c r="F18" s="65"/>
      <c r="G18" s="66"/>
      <c r="H18" s="10"/>
      <c r="I18" s="3"/>
      <c r="J18" s="21"/>
      <c r="K18" s="40"/>
      <c r="L18" s="40"/>
    </row>
    <row r="19" spans="1:12" ht="24.95" customHeight="1" thickBot="1" x14ac:dyDescent="0.25">
      <c r="A19" s="53">
        <v>0.58333333333333337</v>
      </c>
      <c r="B19" s="42"/>
      <c r="C19" s="43"/>
      <c r="D19" s="43"/>
      <c r="E19" s="44"/>
      <c r="F19" s="63">
        <v>7.24</v>
      </c>
      <c r="G19" s="64"/>
      <c r="H19" s="107"/>
      <c r="I19" s="61">
        <v>4.7</v>
      </c>
      <c r="J19" s="62"/>
      <c r="K19" s="39">
        <v>95.3</v>
      </c>
      <c r="L19" s="39">
        <v>0</v>
      </c>
    </row>
    <row r="20" spans="1:12" ht="24.95" customHeight="1" thickBot="1" x14ac:dyDescent="0.25">
      <c r="A20" s="54"/>
      <c r="B20" s="48"/>
      <c r="C20" s="49"/>
      <c r="D20" s="49"/>
      <c r="E20" s="50"/>
      <c r="F20" s="65"/>
      <c r="G20" s="66"/>
      <c r="H20" s="108"/>
      <c r="I20" s="3">
        <v>2.5</v>
      </c>
      <c r="J20" s="23">
        <v>2.2000000000000002</v>
      </c>
      <c r="K20" s="40"/>
      <c r="L20" s="40"/>
    </row>
    <row r="21" spans="1:12" ht="50.1" customHeight="1" thickBot="1" x14ac:dyDescent="0.25">
      <c r="A21" s="1">
        <v>0.66666666666666663</v>
      </c>
      <c r="B21" s="41">
        <v>4.07</v>
      </c>
      <c r="C21" s="41"/>
      <c r="D21" s="41">
        <v>5.42</v>
      </c>
      <c r="E21" s="41"/>
      <c r="F21" s="42"/>
      <c r="G21" s="43"/>
      <c r="H21" s="43"/>
      <c r="I21" s="43"/>
      <c r="J21" s="43"/>
      <c r="K21" s="43"/>
      <c r="L21" s="44"/>
    </row>
    <row r="22" spans="1:12" ht="50.1" customHeight="1" thickBot="1" x14ac:dyDescent="0.25">
      <c r="A22" s="1">
        <v>0.83333333333333337</v>
      </c>
      <c r="B22" s="41">
        <v>4.28</v>
      </c>
      <c r="C22" s="41"/>
      <c r="D22" s="41">
        <v>2.2400000000000002</v>
      </c>
      <c r="E22" s="41"/>
      <c r="F22" s="45"/>
      <c r="G22" s="46"/>
      <c r="H22" s="46"/>
      <c r="I22" s="46"/>
      <c r="J22" s="46"/>
      <c r="K22" s="46"/>
      <c r="L22" s="47"/>
    </row>
    <row r="23" spans="1:12" ht="50.1" customHeight="1" thickBot="1" x14ac:dyDescent="0.25">
      <c r="A23" s="1">
        <v>1</v>
      </c>
      <c r="B23" s="51">
        <v>1.88</v>
      </c>
      <c r="C23" s="52"/>
      <c r="D23" s="51">
        <v>4.3499999999999996</v>
      </c>
      <c r="E23" s="52"/>
      <c r="F23" s="45"/>
      <c r="G23" s="46"/>
      <c r="H23" s="46"/>
      <c r="I23" s="46"/>
      <c r="J23" s="46"/>
      <c r="K23" s="46"/>
      <c r="L23" s="47"/>
    </row>
    <row r="24" spans="1:12" ht="50.1" customHeight="1" thickBot="1" x14ac:dyDescent="0.25">
      <c r="A24" s="1">
        <v>0.16666666666666666</v>
      </c>
      <c r="B24" s="41">
        <v>2.4</v>
      </c>
      <c r="C24" s="41"/>
      <c r="D24" s="41">
        <v>2.72</v>
      </c>
      <c r="E24" s="41"/>
      <c r="F24" s="48"/>
      <c r="G24" s="49"/>
      <c r="H24" s="49"/>
      <c r="I24" s="49"/>
      <c r="J24" s="49"/>
      <c r="K24" s="49"/>
      <c r="L24" s="50"/>
    </row>
  </sheetData>
  <mergeCells count="68"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17:K18"/>
    <mergeCell ref="L17:L18"/>
    <mergeCell ref="A15:A16"/>
    <mergeCell ref="B15:C16"/>
    <mergeCell ref="D15:E16"/>
    <mergeCell ref="F15:H16"/>
    <mergeCell ref="I15:J15"/>
    <mergeCell ref="K15:K16"/>
    <mergeCell ref="A17:A18"/>
    <mergeCell ref="B17:C18"/>
    <mergeCell ref="D17:E18"/>
    <mergeCell ref="F17:G18"/>
    <mergeCell ref="I17:J17"/>
    <mergeCell ref="B19:E20"/>
    <mergeCell ref="F19:H20"/>
    <mergeCell ref="I19:J19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  <mergeCell ref="L19:L20"/>
  </mergeCells>
  <conditionalFormatting sqref="D9">
    <cfRule type="cellIs" dxfId="385" priority="24" operator="greaterThan">
      <formula>7</formula>
    </cfRule>
  </conditionalFormatting>
  <conditionalFormatting sqref="F9">
    <cfRule type="cellIs" dxfId="384" priority="23" operator="greaterThan">
      <formula>20</formula>
    </cfRule>
  </conditionalFormatting>
  <conditionalFormatting sqref="H9:J10">
    <cfRule type="cellIs" dxfId="383" priority="22" operator="lessThan">
      <formula>80</formula>
    </cfRule>
  </conditionalFormatting>
  <conditionalFormatting sqref="K9:L10">
    <cfRule type="cellIs" dxfId="382" priority="21" operator="greaterThan">
      <formula>0</formula>
    </cfRule>
  </conditionalFormatting>
  <conditionalFormatting sqref="B24:E24 B23 D23 B22:E22 B21:F21 B15 B19 D13 B13">
    <cfRule type="cellIs" dxfId="381" priority="20" operator="greaterThan">
      <formula>7</formula>
    </cfRule>
  </conditionalFormatting>
  <conditionalFormatting sqref="I15 I13">
    <cfRule type="cellIs" dxfId="380" priority="19" operator="greaterThan">
      <formula>20</formula>
    </cfRule>
  </conditionalFormatting>
  <conditionalFormatting sqref="K15 K13">
    <cfRule type="cellIs" dxfId="379" priority="18" stopIfTrue="1" operator="lessThan">
      <formula>80</formula>
    </cfRule>
  </conditionalFormatting>
  <conditionalFormatting sqref="L15 L13">
    <cfRule type="cellIs" dxfId="378" priority="17" operator="greaterThan">
      <formula>0</formula>
    </cfRule>
  </conditionalFormatting>
  <conditionalFormatting sqref="F15 F19 F13">
    <cfRule type="cellIs" dxfId="377" priority="16" stopIfTrue="1" operator="greaterThan">
      <formula>10</formula>
    </cfRule>
  </conditionalFormatting>
  <conditionalFormatting sqref="K19">
    <cfRule type="cellIs" dxfId="376" priority="15" stopIfTrue="1" operator="lessThan">
      <formula>80</formula>
    </cfRule>
  </conditionalFormatting>
  <conditionalFormatting sqref="I14:J14">
    <cfRule type="cellIs" dxfId="375" priority="14" operator="greaterThan">
      <formula>20</formula>
    </cfRule>
  </conditionalFormatting>
  <conditionalFormatting sqref="J16">
    <cfRule type="cellIs" dxfId="374" priority="13" operator="greaterThan">
      <formula>20</formula>
    </cfRule>
  </conditionalFormatting>
  <conditionalFormatting sqref="I16:I17">
    <cfRule type="cellIs" dxfId="373" priority="12" operator="greaterThan">
      <formula>20</formula>
    </cfRule>
  </conditionalFormatting>
  <conditionalFormatting sqref="I18">
    <cfRule type="cellIs" dxfId="372" priority="11" operator="greaterThan">
      <formula>20</formula>
    </cfRule>
  </conditionalFormatting>
  <conditionalFormatting sqref="I19">
    <cfRule type="cellIs" dxfId="371" priority="10" operator="greaterThan">
      <formula>20</formula>
    </cfRule>
  </conditionalFormatting>
  <conditionalFormatting sqref="I20">
    <cfRule type="cellIs" dxfId="370" priority="9" operator="greaterThan">
      <formula>20</formula>
    </cfRule>
  </conditionalFormatting>
  <conditionalFormatting sqref="J20">
    <cfRule type="cellIs" dxfId="369" priority="8" operator="greaterThan">
      <formula>20</formula>
    </cfRule>
  </conditionalFormatting>
  <conditionalFormatting sqref="D15">
    <cfRule type="cellIs" dxfId="368" priority="7" operator="greaterThan">
      <formula>7</formula>
    </cfRule>
  </conditionalFormatting>
  <conditionalFormatting sqref="D17">
    <cfRule type="cellIs" dxfId="367" priority="6" operator="greaterThan">
      <formula>7</formula>
    </cfRule>
  </conditionalFormatting>
  <conditionalFormatting sqref="B17">
    <cfRule type="cellIs" dxfId="366" priority="5" operator="greaterThan">
      <formula>7</formula>
    </cfRule>
  </conditionalFormatting>
  <conditionalFormatting sqref="K17">
    <cfRule type="cellIs" dxfId="365" priority="4" stopIfTrue="1" operator="lessThan">
      <formula>80</formula>
    </cfRule>
  </conditionalFormatting>
  <conditionalFormatting sqref="L17">
    <cfRule type="cellIs" dxfId="364" priority="3" operator="greaterThan">
      <formula>0</formula>
    </cfRule>
  </conditionalFormatting>
  <conditionalFormatting sqref="L19">
    <cfRule type="cellIs" dxfId="363" priority="2" operator="greaterThan">
      <formula>0</formula>
    </cfRule>
  </conditionalFormatting>
  <conditionalFormatting sqref="F17">
    <cfRule type="cellIs" dxfId="362" priority="1" stopIfTrue="1" operator="greaterThan">
      <formula>10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zoomScale="90" zoomScaleNormal="100" zoomScaleSheetLayoutView="90" zoomScalePageLayoutView="80" workbookViewId="0">
      <selection activeCell="D24" sqref="D24:E24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100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2"/>
    </row>
    <row r="2" spans="1:12" ht="40.5" customHeight="1" x14ac:dyDescent="0.2">
      <c r="A2" s="103" t="s">
        <v>25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5"/>
    </row>
    <row r="3" spans="1:12" ht="40.5" customHeight="1" x14ac:dyDescent="0.2">
      <c r="A3" s="106" t="s">
        <v>24</v>
      </c>
      <c r="B3" s="106"/>
      <c r="C3" s="106" t="s">
        <v>23</v>
      </c>
      <c r="D3" s="106"/>
      <c r="E3" s="106" t="s">
        <v>22</v>
      </c>
      <c r="F3" s="106"/>
      <c r="G3" s="106"/>
      <c r="H3" s="106" t="s">
        <v>21</v>
      </c>
      <c r="I3" s="106"/>
      <c r="J3" s="106"/>
      <c r="K3" s="106" t="s">
        <v>20</v>
      </c>
      <c r="L3" s="106"/>
    </row>
    <row r="4" spans="1:12" ht="40.5" customHeight="1" x14ac:dyDescent="0.2">
      <c r="A4" s="91">
        <v>48527531</v>
      </c>
      <c r="B4" s="91"/>
      <c r="C4" s="91"/>
      <c r="D4" s="91"/>
      <c r="E4" s="91" t="s">
        <v>43</v>
      </c>
      <c r="F4" s="91"/>
      <c r="G4" s="91"/>
      <c r="H4" s="91" t="s">
        <v>19</v>
      </c>
      <c r="I4" s="91"/>
      <c r="J4" s="91"/>
      <c r="K4" s="92" t="s">
        <v>18</v>
      </c>
      <c r="L4" s="92"/>
    </row>
    <row r="5" spans="1:12" ht="40.5" customHeight="1" thickBot="1" x14ac:dyDescent="0.25">
      <c r="A5" s="97" t="s">
        <v>17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67" t="s">
        <v>16</v>
      </c>
      <c r="B7" s="93" t="s">
        <v>15</v>
      </c>
      <c r="C7" s="94"/>
      <c r="D7" s="87" t="s">
        <v>14</v>
      </c>
      <c r="E7" s="87"/>
      <c r="F7" s="89" t="s">
        <v>13</v>
      </c>
      <c r="G7" s="90"/>
      <c r="H7" s="87" t="s">
        <v>12</v>
      </c>
      <c r="I7" s="87"/>
      <c r="J7" s="87"/>
      <c r="K7" s="69" t="s">
        <v>11</v>
      </c>
      <c r="L7" s="70"/>
    </row>
    <row r="8" spans="1:12" ht="24.95" customHeight="1" thickBot="1" x14ac:dyDescent="0.25">
      <c r="A8" s="68"/>
      <c r="B8" s="95"/>
      <c r="C8" s="96"/>
      <c r="D8" s="88"/>
      <c r="E8" s="88"/>
      <c r="F8" s="5" t="s">
        <v>10</v>
      </c>
      <c r="G8" s="5" t="s">
        <v>9</v>
      </c>
      <c r="H8" s="88"/>
      <c r="I8" s="88"/>
      <c r="J8" s="88"/>
      <c r="K8" s="71"/>
      <c r="L8" s="72"/>
    </row>
    <row r="9" spans="1:12" ht="24.95" customHeight="1" thickBot="1" x14ac:dyDescent="0.25">
      <c r="A9" s="73">
        <v>734.4</v>
      </c>
      <c r="B9" s="75">
        <v>29</v>
      </c>
      <c r="C9" s="76"/>
      <c r="D9" s="42">
        <f>AVERAGE(B13:E24)</f>
        <v>4.333333333333333</v>
      </c>
      <c r="E9" s="44"/>
      <c r="F9" s="61">
        <f>AVERAGE(I13,I15,I17,I19)</f>
        <v>4.3</v>
      </c>
      <c r="G9" s="62"/>
      <c r="H9" s="79">
        <f>AVERAGE(K13,K15,K17,K19)</f>
        <v>95.7</v>
      </c>
      <c r="I9" s="80"/>
      <c r="J9" s="81"/>
      <c r="K9" s="79">
        <f>AVERAGE(L13,L15,L17,L19)</f>
        <v>0</v>
      </c>
      <c r="L9" s="81"/>
    </row>
    <row r="10" spans="1:12" ht="24.95" customHeight="1" thickBot="1" x14ac:dyDescent="0.25">
      <c r="A10" s="74"/>
      <c r="B10" s="77"/>
      <c r="C10" s="78"/>
      <c r="D10" s="48"/>
      <c r="E10" s="50"/>
      <c r="F10" s="3">
        <f>AVERAGE(I14,I16,I18,I20)</f>
        <v>2.1</v>
      </c>
      <c r="G10" s="3">
        <f>AVERAGE(J14,J16,J18,J20)</f>
        <v>2.2000000000000002</v>
      </c>
      <c r="H10" s="82"/>
      <c r="I10" s="83"/>
      <c r="J10" s="84"/>
      <c r="K10" s="82"/>
      <c r="L10" s="84"/>
    </row>
    <row r="11" spans="1:12" ht="24.95" customHeight="1" thickBot="1" x14ac:dyDescent="0.25">
      <c r="A11" s="67" t="s">
        <v>8</v>
      </c>
      <c r="B11" s="69" t="s">
        <v>7</v>
      </c>
      <c r="C11" s="70"/>
      <c r="D11" s="69" t="s">
        <v>6</v>
      </c>
      <c r="E11" s="70"/>
      <c r="F11" s="69" t="s">
        <v>5</v>
      </c>
      <c r="G11" s="87"/>
      <c r="H11" s="70"/>
      <c r="I11" s="89" t="s">
        <v>4</v>
      </c>
      <c r="J11" s="90"/>
      <c r="K11" s="85" t="s">
        <v>3</v>
      </c>
      <c r="L11" s="70" t="s">
        <v>2</v>
      </c>
    </row>
    <row r="12" spans="1:12" ht="24.95" customHeight="1" thickBot="1" x14ac:dyDescent="0.25">
      <c r="A12" s="68"/>
      <c r="B12" s="71"/>
      <c r="C12" s="72"/>
      <c r="D12" s="71"/>
      <c r="E12" s="72"/>
      <c r="F12" s="71"/>
      <c r="G12" s="88"/>
      <c r="H12" s="72"/>
      <c r="I12" s="5" t="s">
        <v>1</v>
      </c>
      <c r="J12" s="22" t="s">
        <v>0</v>
      </c>
      <c r="K12" s="86"/>
      <c r="L12" s="72"/>
    </row>
    <row r="13" spans="1:12" ht="24.95" customHeight="1" thickBot="1" x14ac:dyDescent="0.25">
      <c r="A13" s="53">
        <v>0.33333333333333331</v>
      </c>
      <c r="B13" s="42">
        <v>1.79</v>
      </c>
      <c r="C13" s="44"/>
      <c r="D13" s="42">
        <v>4.3899999999999997</v>
      </c>
      <c r="E13" s="44"/>
      <c r="F13" s="63">
        <v>5.84</v>
      </c>
      <c r="G13" s="64"/>
      <c r="H13" s="107"/>
      <c r="I13" s="61">
        <v>4.3</v>
      </c>
      <c r="J13" s="62"/>
      <c r="K13" s="39">
        <v>95.7</v>
      </c>
      <c r="L13" s="39">
        <v>0</v>
      </c>
    </row>
    <row r="14" spans="1:12" ht="24.95" customHeight="1" thickBot="1" x14ac:dyDescent="0.25">
      <c r="A14" s="54"/>
      <c r="B14" s="48"/>
      <c r="C14" s="50"/>
      <c r="D14" s="48"/>
      <c r="E14" s="50"/>
      <c r="F14" s="65"/>
      <c r="G14" s="66"/>
      <c r="H14" s="108"/>
      <c r="I14" s="3">
        <v>2.1</v>
      </c>
      <c r="J14" s="23">
        <v>2.2000000000000002</v>
      </c>
      <c r="K14" s="40"/>
      <c r="L14" s="40"/>
    </row>
    <row r="15" spans="1:12" ht="24.95" customHeight="1" thickBot="1" x14ac:dyDescent="0.25">
      <c r="A15" s="53">
        <v>0.41666666666666669</v>
      </c>
      <c r="B15" s="42"/>
      <c r="C15" s="44"/>
      <c r="D15" s="42"/>
      <c r="E15" s="44"/>
      <c r="F15" s="63"/>
      <c r="G15" s="64"/>
      <c r="H15" s="107"/>
      <c r="I15" s="61"/>
      <c r="J15" s="62"/>
      <c r="K15" s="39"/>
      <c r="L15" s="39"/>
    </row>
    <row r="16" spans="1:12" ht="24.95" customHeight="1" thickBot="1" x14ac:dyDescent="0.25">
      <c r="A16" s="54"/>
      <c r="B16" s="48"/>
      <c r="C16" s="50"/>
      <c r="D16" s="48"/>
      <c r="E16" s="50"/>
      <c r="F16" s="65"/>
      <c r="G16" s="66"/>
      <c r="H16" s="108"/>
      <c r="I16" s="3"/>
      <c r="J16" s="23"/>
      <c r="K16" s="40"/>
      <c r="L16" s="40"/>
    </row>
    <row r="17" spans="1:12" ht="24.95" customHeight="1" thickBot="1" x14ac:dyDescent="0.25">
      <c r="A17" s="53">
        <v>0.5</v>
      </c>
      <c r="B17" s="42">
        <v>4.87</v>
      </c>
      <c r="C17" s="44"/>
      <c r="D17" s="42">
        <v>3.07</v>
      </c>
      <c r="E17" s="44"/>
      <c r="F17" s="63"/>
      <c r="G17" s="64"/>
      <c r="H17" s="20"/>
      <c r="I17" s="61"/>
      <c r="J17" s="62"/>
      <c r="K17" s="39"/>
      <c r="L17" s="39"/>
    </row>
    <row r="18" spans="1:12" ht="24.95" customHeight="1" thickBot="1" x14ac:dyDescent="0.25">
      <c r="A18" s="54"/>
      <c r="B18" s="48"/>
      <c r="C18" s="50"/>
      <c r="D18" s="48"/>
      <c r="E18" s="50"/>
      <c r="F18" s="65"/>
      <c r="G18" s="66"/>
      <c r="H18" s="10"/>
      <c r="I18" s="3"/>
      <c r="J18" s="21"/>
      <c r="K18" s="40"/>
      <c r="L18" s="40"/>
    </row>
    <row r="19" spans="1:12" ht="24.95" customHeight="1" thickBot="1" x14ac:dyDescent="0.25">
      <c r="A19" s="53">
        <v>0.58333333333333337</v>
      </c>
      <c r="B19" s="42"/>
      <c r="C19" s="43"/>
      <c r="D19" s="43"/>
      <c r="E19" s="44"/>
      <c r="F19" s="63"/>
      <c r="G19" s="64"/>
      <c r="H19" s="107"/>
      <c r="I19" s="61"/>
      <c r="J19" s="62"/>
      <c r="K19" s="39"/>
      <c r="L19" s="39"/>
    </row>
    <row r="20" spans="1:12" ht="24.95" customHeight="1" thickBot="1" x14ac:dyDescent="0.25">
      <c r="A20" s="54"/>
      <c r="B20" s="48"/>
      <c r="C20" s="49"/>
      <c r="D20" s="49"/>
      <c r="E20" s="50"/>
      <c r="F20" s="65"/>
      <c r="G20" s="66"/>
      <c r="H20" s="108"/>
      <c r="I20" s="3"/>
      <c r="J20" s="23"/>
      <c r="K20" s="40"/>
      <c r="L20" s="40"/>
    </row>
    <row r="21" spans="1:12" ht="50.1" customHeight="1" thickBot="1" x14ac:dyDescent="0.25">
      <c r="A21" s="1">
        <v>0.66666666666666663</v>
      </c>
      <c r="B21" s="41">
        <v>5.57</v>
      </c>
      <c r="C21" s="41"/>
      <c r="D21" s="41">
        <v>7.47</v>
      </c>
      <c r="E21" s="41"/>
      <c r="F21" s="42"/>
      <c r="G21" s="43"/>
      <c r="H21" s="43"/>
      <c r="I21" s="43"/>
      <c r="J21" s="43"/>
      <c r="K21" s="43"/>
      <c r="L21" s="44"/>
    </row>
    <row r="22" spans="1:12" ht="50.1" customHeight="1" thickBot="1" x14ac:dyDescent="0.25">
      <c r="A22" s="1">
        <v>0.83333333333333337</v>
      </c>
      <c r="B22" s="41">
        <v>3.95</v>
      </c>
      <c r="C22" s="41"/>
      <c r="D22" s="41">
        <v>2.97</v>
      </c>
      <c r="E22" s="41"/>
      <c r="F22" s="45"/>
      <c r="G22" s="46"/>
      <c r="H22" s="46"/>
      <c r="I22" s="46"/>
      <c r="J22" s="46"/>
      <c r="K22" s="46"/>
      <c r="L22" s="47"/>
    </row>
    <row r="23" spans="1:12" ht="50.1" customHeight="1" thickBot="1" x14ac:dyDescent="0.25">
      <c r="A23" s="1">
        <v>1</v>
      </c>
      <c r="B23" s="51">
        <v>7.55</v>
      </c>
      <c r="C23" s="52"/>
      <c r="D23" s="51">
        <v>2.2200000000000002</v>
      </c>
      <c r="E23" s="52"/>
      <c r="F23" s="45"/>
      <c r="G23" s="46"/>
      <c r="H23" s="46"/>
      <c r="I23" s="46"/>
      <c r="J23" s="46"/>
      <c r="K23" s="46"/>
      <c r="L23" s="47"/>
    </row>
    <row r="24" spans="1:12" ht="50.1" customHeight="1" thickBot="1" x14ac:dyDescent="0.25">
      <c r="A24" s="1">
        <v>0.16666666666666666</v>
      </c>
      <c r="B24" s="41">
        <v>5.54</v>
      </c>
      <c r="C24" s="41"/>
      <c r="D24" s="41">
        <v>2.61</v>
      </c>
      <c r="E24" s="41"/>
      <c r="F24" s="48"/>
      <c r="G24" s="49"/>
      <c r="H24" s="49"/>
      <c r="I24" s="49"/>
      <c r="J24" s="49"/>
      <c r="K24" s="49"/>
      <c r="L24" s="50"/>
    </row>
  </sheetData>
  <mergeCells count="68"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17:K18"/>
    <mergeCell ref="L17:L18"/>
    <mergeCell ref="A15:A16"/>
    <mergeCell ref="B15:C16"/>
    <mergeCell ref="D15:E16"/>
    <mergeCell ref="F15:H16"/>
    <mergeCell ref="I15:J15"/>
    <mergeCell ref="K15:K16"/>
    <mergeCell ref="A17:A18"/>
    <mergeCell ref="B17:C18"/>
    <mergeCell ref="D17:E18"/>
    <mergeCell ref="F17:G18"/>
    <mergeCell ref="I17:J17"/>
    <mergeCell ref="B19:E20"/>
    <mergeCell ref="F19:H20"/>
    <mergeCell ref="I19:J19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  <mergeCell ref="L19:L20"/>
  </mergeCells>
  <conditionalFormatting sqref="D9">
    <cfRule type="cellIs" dxfId="361" priority="24" operator="greaterThan">
      <formula>7</formula>
    </cfRule>
  </conditionalFormatting>
  <conditionalFormatting sqref="F9">
    <cfRule type="cellIs" dxfId="360" priority="23" operator="greaterThan">
      <formula>20</formula>
    </cfRule>
  </conditionalFormatting>
  <conditionalFormatting sqref="H9:J10">
    <cfRule type="cellIs" dxfId="359" priority="22" operator="lessThan">
      <formula>80</formula>
    </cfRule>
  </conditionalFormatting>
  <conditionalFormatting sqref="K9:L10">
    <cfRule type="cellIs" dxfId="358" priority="21" operator="greaterThan">
      <formula>0</formula>
    </cfRule>
  </conditionalFormatting>
  <conditionalFormatting sqref="B24:E24 B23 D23 B22:E22 B21:F21 B15 B19 D13 B13">
    <cfRule type="cellIs" dxfId="357" priority="20" operator="greaterThan">
      <formula>7</formula>
    </cfRule>
  </conditionalFormatting>
  <conditionalFormatting sqref="I15 I13">
    <cfRule type="cellIs" dxfId="356" priority="19" operator="greaterThan">
      <formula>20</formula>
    </cfRule>
  </conditionalFormatting>
  <conditionalFormatting sqref="K15 K13">
    <cfRule type="cellIs" dxfId="355" priority="18" stopIfTrue="1" operator="lessThan">
      <formula>80</formula>
    </cfRule>
  </conditionalFormatting>
  <conditionalFormatting sqref="L15 L13">
    <cfRule type="cellIs" dxfId="354" priority="17" operator="greaterThan">
      <formula>0</formula>
    </cfRule>
  </conditionalFormatting>
  <conditionalFormatting sqref="F15 F19 F13">
    <cfRule type="cellIs" dxfId="353" priority="16" stopIfTrue="1" operator="greaterThan">
      <formula>10</formula>
    </cfRule>
  </conditionalFormatting>
  <conditionalFormatting sqref="K19">
    <cfRule type="cellIs" dxfId="352" priority="15" stopIfTrue="1" operator="lessThan">
      <formula>80</formula>
    </cfRule>
  </conditionalFormatting>
  <conditionalFormatting sqref="I14:J14">
    <cfRule type="cellIs" dxfId="351" priority="14" operator="greaterThan">
      <formula>20</formula>
    </cfRule>
  </conditionalFormatting>
  <conditionalFormatting sqref="J16">
    <cfRule type="cellIs" dxfId="350" priority="13" operator="greaterThan">
      <formula>20</formula>
    </cfRule>
  </conditionalFormatting>
  <conditionalFormatting sqref="I16:I17">
    <cfRule type="cellIs" dxfId="349" priority="12" operator="greaterThan">
      <formula>20</formula>
    </cfRule>
  </conditionalFormatting>
  <conditionalFormatting sqref="I18">
    <cfRule type="cellIs" dxfId="348" priority="11" operator="greaterThan">
      <formula>20</formula>
    </cfRule>
  </conditionalFormatting>
  <conditionalFormatting sqref="I19">
    <cfRule type="cellIs" dxfId="347" priority="10" operator="greaterThan">
      <formula>20</formula>
    </cfRule>
  </conditionalFormatting>
  <conditionalFormatting sqref="I20">
    <cfRule type="cellIs" dxfId="346" priority="9" operator="greaterThan">
      <formula>20</formula>
    </cfRule>
  </conditionalFormatting>
  <conditionalFormatting sqref="J20">
    <cfRule type="cellIs" dxfId="345" priority="8" operator="greaterThan">
      <formula>20</formula>
    </cfRule>
  </conditionalFormatting>
  <conditionalFormatting sqref="D15">
    <cfRule type="cellIs" dxfId="344" priority="7" operator="greaterThan">
      <formula>7</formula>
    </cfRule>
  </conditionalFormatting>
  <conditionalFormatting sqref="D17">
    <cfRule type="cellIs" dxfId="343" priority="6" operator="greaterThan">
      <formula>7</formula>
    </cfRule>
  </conditionalFormatting>
  <conditionalFormatting sqref="B17">
    <cfRule type="cellIs" dxfId="342" priority="5" operator="greaterThan">
      <formula>7</formula>
    </cfRule>
  </conditionalFormatting>
  <conditionalFormatting sqref="K17">
    <cfRule type="cellIs" dxfId="341" priority="4" stopIfTrue="1" operator="lessThan">
      <formula>80</formula>
    </cfRule>
  </conditionalFormatting>
  <conditionalFormatting sqref="L17">
    <cfRule type="cellIs" dxfId="340" priority="3" operator="greaterThan">
      <formula>0</formula>
    </cfRule>
  </conditionalFormatting>
  <conditionalFormatting sqref="L19">
    <cfRule type="cellIs" dxfId="339" priority="2" operator="greaterThan">
      <formula>0</formula>
    </cfRule>
  </conditionalFormatting>
  <conditionalFormatting sqref="F17">
    <cfRule type="cellIs" dxfId="338" priority="1" stopIfTrue="1" operator="greaterThan">
      <formula>10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topLeftCell="A4" zoomScale="90" zoomScaleNormal="100" zoomScaleSheetLayoutView="90" zoomScalePageLayoutView="80" workbookViewId="0">
      <selection activeCell="D25" sqref="D25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100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2"/>
    </row>
    <row r="2" spans="1:12" ht="40.5" customHeight="1" x14ac:dyDescent="0.2">
      <c r="A2" s="103" t="s">
        <v>25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5"/>
    </row>
    <row r="3" spans="1:12" ht="40.5" customHeight="1" x14ac:dyDescent="0.2">
      <c r="A3" s="106" t="s">
        <v>24</v>
      </c>
      <c r="B3" s="106"/>
      <c r="C3" s="106" t="s">
        <v>23</v>
      </c>
      <c r="D3" s="106"/>
      <c r="E3" s="106" t="s">
        <v>22</v>
      </c>
      <c r="F3" s="106"/>
      <c r="G3" s="106"/>
      <c r="H3" s="106" t="s">
        <v>21</v>
      </c>
      <c r="I3" s="106"/>
      <c r="J3" s="106"/>
      <c r="K3" s="106" t="s">
        <v>20</v>
      </c>
      <c r="L3" s="106"/>
    </row>
    <row r="4" spans="1:12" ht="40.5" customHeight="1" x14ac:dyDescent="0.2">
      <c r="A4" s="91">
        <v>48527531</v>
      </c>
      <c r="B4" s="91"/>
      <c r="C4" s="91"/>
      <c r="D4" s="91"/>
      <c r="E4" s="91" t="s">
        <v>44</v>
      </c>
      <c r="F4" s="91"/>
      <c r="G4" s="91"/>
      <c r="H4" s="91" t="s">
        <v>19</v>
      </c>
      <c r="I4" s="91"/>
      <c r="J4" s="91"/>
      <c r="K4" s="92" t="s">
        <v>18</v>
      </c>
      <c r="L4" s="92"/>
    </row>
    <row r="5" spans="1:12" ht="40.5" customHeight="1" thickBot="1" x14ac:dyDescent="0.25">
      <c r="A5" s="97" t="s">
        <v>17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67" t="s">
        <v>16</v>
      </c>
      <c r="B7" s="93" t="s">
        <v>15</v>
      </c>
      <c r="C7" s="94"/>
      <c r="D7" s="87" t="s">
        <v>14</v>
      </c>
      <c r="E7" s="87"/>
      <c r="F7" s="89" t="s">
        <v>13</v>
      </c>
      <c r="G7" s="90"/>
      <c r="H7" s="87" t="s">
        <v>12</v>
      </c>
      <c r="I7" s="87"/>
      <c r="J7" s="87"/>
      <c r="K7" s="69" t="s">
        <v>11</v>
      </c>
      <c r="L7" s="70"/>
    </row>
    <row r="8" spans="1:12" ht="24.95" customHeight="1" thickBot="1" x14ac:dyDescent="0.25">
      <c r="A8" s="68"/>
      <c r="B8" s="95"/>
      <c r="C8" s="96"/>
      <c r="D8" s="88"/>
      <c r="E8" s="88"/>
      <c r="F8" s="5" t="s">
        <v>10</v>
      </c>
      <c r="G8" s="5" t="s">
        <v>9</v>
      </c>
      <c r="H8" s="88"/>
      <c r="I8" s="88"/>
      <c r="J8" s="88"/>
      <c r="K8" s="71"/>
      <c r="L8" s="72"/>
    </row>
    <row r="9" spans="1:12" ht="24.95" customHeight="1" thickBot="1" x14ac:dyDescent="0.25">
      <c r="A9" s="73">
        <v>528.1</v>
      </c>
      <c r="B9" s="75">
        <v>20</v>
      </c>
      <c r="C9" s="76"/>
      <c r="D9" s="42">
        <f>AVERAGE(B13:E24)</f>
        <v>3.7291666666666665</v>
      </c>
      <c r="E9" s="44"/>
      <c r="F9" s="61">
        <f>AVERAGE(I13,I15,I17,I19)</f>
        <v>5</v>
      </c>
      <c r="G9" s="62"/>
      <c r="H9" s="79">
        <f>AVERAGE(K13,K15,K17,K19)</f>
        <v>95</v>
      </c>
      <c r="I9" s="80"/>
      <c r="J9" s="81"/>
      <c r="K9" s="79">
        <f>AVERAGE(L13,L15,L17,L19)</f>
        <v>0</v>
      </c>
      <c r="L9" s="81"/>
    </row>
    <row r="10" spans="1:12" ht="24.95" customHeight="1" thickBot="1" x14ac:dyDescent="0.25">
      <c r="A10" s="74"/>
      <c r="B10" s="77"/>
      <c r="C10" s="78"/>
      <c r="D10" s="48"/>
      <c r="E10" s="50"/>
      <c r="F10" s="3">
        <f>AVERAGE(I14,I16,I18,I20)</f>
        <v>2.7</v>
      </c>
      <c r="G10" s="3">
        <f>AVERAGE(J14,J16,J18,J20)</f>
        <v>2.2999999999999998</v>
      </c>
      <c r="H10" s="82"/>
      <c r="I10" s="83"/>
      <c r="J10" s="84"/>
      <c r="K10" s="82"/>
      <c r="L10" s="84"/>
    </row>
    <row r="11" spans="1:12" ht="24.95" customHeight="1" thickBot="1" x14ac:dyDescent="0.25">
      <c r="A11" s="67" t="s">
        <v>8</v>
      </c>
      <c r="B11" s="69" t="s">
        <v>7</v>
      </c>
      <c r="C11" s="70"/>
      <c r="D11" s="69" t="s">
        <v>6</v>
      </c>
      <c r="E11" s="70"/>
      <c r="F11" s="69" t="s">
        <v>5</v>
      </c>
      <c r="G11" s="87"/>
      <c r="H11" s="70"/>
      <c r="I11" s="89" t="s">
        <v>4</v>
      </c>
      <c r="J11" s="90"/>
      <c r="K11" s="85" t="s">
        <v>3</v>
      </c>
      <c r="L11" s="70" t="s">
        <v>2</v>
      </c>
    </row>
    <row r="12" spans="1:12" ht="24.95" customHeight="1" thickBot="1" x14ac:dyDescent="0.25">
      <c r="A12" s="68"/>
      <c r="B12" s="71"/>
      <c r="C12" s="72"/>
      <c r="D12" s="71"/>
      <c r="E12" s="72"/>
      <c r="F12" s="71"/>
      <c r="G12" s="88"/>
      <c r="H12" s="72"/>
      <c r="I12" s="5" t="s">
        <v>1</v>
      </c>
      <c r="J12" s="25" t="s">
        <v>0</v>
      </c>
      <c r="K12" s="86"/>
      <c r="L12" s="72"/>
    </row>
    <row r="13" spans="1:12" ht="24.95" customHeight="1" thickBot="1" x14ac:dyDescent="0.25">
      <c r="A13" s="53">
        <v>0.33333333333333331</v>
      </c>
      <c r="B13" s="42">
        <v>1.91</v>
      </c>
      <c r="C13" s="44"/>
      <c r="D13" s="42">
        <v>1.82</v>
      </c>
      <c r="E13" s="44"/>
      <c r="F13" s="63">
        <v>4.83</v>
      </c>
      <c r="G13" s="64"/>
      <c r="H13" s="107"/>
      <c r="I13" s="61">
        <v>5</v>
      </c>
      <c r="J13" s="62"/>
      <c r="K13" s="39">
        <v>95</v>
      </c>
      <c r="L13" s="39">
        <v>0</v>
      </c>
    </row>
    <row r="14" spans="1:12" ht="24.95" customHeight="1" thickBot="1" x14ac:dyDescent="0.25">
      <c r="A14" s="54"/>
      <c r="B14" s="48"/>
      <c r="C14" s="50"/>
      <c r="D14" s="48"/>
      <c r="E14" s="50"/>
      <c r="F14" s="65"/>
      <c r="G14" s="66"/>
      <c r="H14" s="108"/>
      <c r="I14" s="3">
        <v>2.7</v>
      </c>
      <c r="J14" s="24">
        <v>2.2999999999999998</v>
      </c>
      <c r="K14" s="40"/>
      <c r="L14" s="40"/>
    </row>
    <row r="15" spans="1:12" ht="24.95" customHeight="1" thickBot="1" x14ac:dyDescent="0.25">
      <c r="A15" s="53">
        <v>0.41666666666666669</v>
      </c>
      <c r="B15" s="42"/>
      <c r="C15" s="44"/>
      <c r="D15" s="42"/>
      <c r="E15" s="44"/>
      <c r="F15" s="63"/>
      <c r="G15" s="64"/>
      <c r="H15" s="107"/>
      <c r="I15" s="61"/>
      <c r="J15" s="62"/>
      <c r="K15" s="39"/>
      <c r="L15" s="39"/>
    </row>
    <row r="16" spans="1:12" ht="24.95" customHeight="1" thickBot="1" x14ac:dyDescent="0.25">
      <c r="A16" s="54"/>
      <c r="B16" s="48"/>
      <c r="C16" s="50"/>
      <c r="D16" s="48"/>
      <c r="E16" s="50"/>
      <c r="F16" s="65"/>
      <c r="G16" s="66"/>
      <c r="H16" s="108"/>
      <c r="I16" s="3"/>
      <c r="J16" s="24"/>
      <c r="K16" s="40"/>
      <c r="L16" s="40"/>
    </row>
    <row r="17" spans="1:12" ht="24.95" customHeight="1" thickBot="1" x14ac:dyDescent="0.25">
      <c r="A17" s="53">
        <v>0.5</v>
      </c>
      <c r="B17" s="42">
        <v>4.8899999999999997</v>
      </c>
      <c r="C17" s="44"/>
      <c r="D17" s="42">
        <v>3.34</v>
      </c>
      <c r="E17" s="44"/>
      <c r="F17" s="63"/>
      <c r="G17" s="64"/>
      <c r="H17" s="26"/>
      <c r="I17" s="61"/>
      <c r="J17" s="62"/>
      <c r="K17" s="39"/>
      <c r="L17" s="39"/>
    </row>
    <row r="18" spans="1:12" ht="24.95" customHeight="1" thickBot="1" x14ac:dyDescent="0.25">
      <c r="A18" s="54"/>
      <c r="B18" s="48"/>
      <c r="C18" s="50"/>
      <c r="D18" s="48"/>
      <c r="E18" s="50"/>
      <c r="F18" s="65"/>
      <c r="G18" s="66"/>
      <c r="H18" s="10"/>
      <c r="I18" s="3"/>
      <c r="J18" s="27"/>
      <c r="K18" s="40"/>
      <c r="L18" s="40"/>
    </row>
    <row r="19" spans="1:12" ht="24.95" customHeight="1" thickBot="1" x14ac:dyDescent="0.25">
      <c r="A19" s="53">
        <v>0.58333333333333337</v>
      </c>
      <c r="B19" s="42"/>
      <c r="C19" s="43"/>
      <c r="D19" s="43"/>
      <c r="E19" s="44"/>
      <c r="F19" s="63"/>
      <c r="G19" s="64"/>
      <c r="H19" s="107"/>
      <c r="I19" s="61"/>
      <c r="J19" s="62"/>
      <c r="K19" s="39"/>
      <c r="L19" s="39"/>
    </row>
    <row r="20" spans="1:12" ht="24.95" customHeight="1" thickBot="1" x14ac:dyDescent="0.25">
      <c r="A20" s="54"/>
      <c r="B20" s="48"/>
      <c r="C20" s="49"/>
      <c r="D20" s="49"/>
      <c r="E20" s="50"/>
      <c r="F20" s="65"/>
      <c r="G20" s="66"/>
      <c r="H20" s="108"/>
      <c r="I20" s="3"/>
      <c r="J20" s="24"/>
      <c r="K20" s="40"/>
      <c r="L20" s="40"/>
    </row>
    <row r="21" spans="1:12" ht="50.1" customHeight="1" thickBot="1" x14ac:dyDescent="0.25">
      <c r="A21" s="1">
        <v>0.66666666666666663</v>
      </c>
      <c r="B21" s="41">
        <v>4.8099999999999996</v>
      </c>
      <c r="C21" s="41"/>
      <c r="D21" s="41">
        <v>2.61</v>
      </c>
      <c r="E21" s="41"/>
      <c r="F21" s="42"/>
      <c r="G21" s="43"/>
      <c r="H21" s="43"/>
      <c r="I21" s="43"/>
      <c r="J21" s="43"/>
      <c r="K21" s="43"/>
      <c r="L21" s="44"/>
    </row>
    <row r="22" spans="1:12" ht="50.1" customHeight="1" thickBot="1" x14ac:dyDescent="0.25">
      <c r="A22" s="1">
        <v>0.83333333333333337</v>
      </c>
      <c r="B22" s="41">
        <v>5.03</v>
      </c>
      <c r="C22" s="41"/>
      <c r="D22" s="41">
        <v>0.81</v>
      </c>
      <c r="E22" s="41"/>
      <c r="F22" s="45"/>
      <c r="G22" s="46"/>
      <c r="H22" s="46"/>
      <c r="I22" s="46"/>
      <c r="J22" s="46"/>
      <c r="K22" s="46"/>
      <c r="L22" s="47"/>
    </row>
    <row r="23" spans="1:12" ht="50.1" customHeight="1" thickBot="1" x14ac:dyDescent="0.25">
      <c r="A23" s="1">
        <v>1</v>
      </c>
      <c r="B23" s="51">
        <v>6.02</v>
      </c>
      <c r="C23" s="52"/>
      <c r="D23" s="51">
        <v>2.65</v>
      </c>
      <c r="E23" s="52"/>
      <c r="F23" s="45"/>
      <c r="G23" s="46"/>
      <c r="H23" s="46"/>
      <c r="I23" s="46"/>
      <c r="J23" s="46"/>
      <c r="K23" s="46"/>
      <c r="L23" s="47"/>
    </row>
    <row r="24" spans="1:12" ht="50.1" customHeight="1" thickBot="1" x14ac:dyDescent="0.25">
      <c r="A24" s="1">
        <v>0.16666666666666666</v>
      </c>
      <c r="B24" s="41">
        <v>7.03</v>
      </c>
      <c r="C24" s="41"/>
      <c r="D24" s="41">
        <v>3.83</v>
      </c>
      <c r="E24" s="41"/>
      <c r="F24" s="48"/>
      <c r="G24" s="49"/>
      <c r="H24" s="49"/>
      <c r="I24" s="49"/>
      <c r="J24" s="49"/>
      <c r="K24" s="49"/>
      <c r="L24" s="50"/>
    </row>
  </sheetData>
  <mergeCells count="68">
    <mergeCell ref="B19:E20"/>
    <mergeCell ref="F19:H20"/>
    <mergeCell ref="I19:J19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  <mergeCell ref="L19:L20"/>
    <mergeCell ref="K17:K18"/>
    <mergeCell ref="L17:L18"/>
    <mergeCell ref="A15:A16"/>
    <mergeCell ref="B15:C16"/>
    <mergeCell ref="D15:E16"/>
    <mergeCell ref="F15:H16"/>
    <mergeCell ref="I15:J15"/>
    <mergeCell ref="K15:K16"/>
    <mergeCell ref="A17:A18"/>
    <mergeCell ref="B17:C18"/>
    <mergeCell ref="D17:E18"/>
    <mergeCell ref="F17:G18"/>
    <mergeCell ref="I17:J17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</mergeCells>
  <conditionalFormatting sqref="D9">
    <cfRule type="cellIs" dxfId="337" priority="24" operator="greaterThan">
      <formula>7</formula>
    </cfRule>
  </conditionalFormatting>
  <conditionalFormatting sqref="F9">
    <cfRule type="cellIs" dxfId="336" priority="23" operator="greaterThan">
      <formula>20</formula>
    </cfRule>
  </conditionalFormatting>
  <conditionalFormatting sqref="H9:J10">
    <cfRule type="cellIs" dxfId="335" priority="22" operator="lessThan">
      <formula>80</formula>
    </cfRule>
  </conditionalFormatting>
  <conditionalFormatting sqref="K9:L10">
    <cfRule type="cellIs" dxfId="334" priority="21" operator="greaterThan">
      <formula>0</formula>
    </cfRule>
  </conditionalFormatting>
  <conditionalFormatting sqref="B24:E24 B23 D23 B22:E22 B21:F21 B15 B19 D13 B13">
    <cfRule type="cellIs" dxfId="333" priority="20" operator="greaterThan">
      <formula>7</formula>
    </cfRule>
  </conditionalFormatting>
  <conditionalFormatting sqref="I15 I13">
    <cfRule type="cellIs" dxfId="332" priority="19" operator="greaterThan">
      <formula>20</formula>
    </cfRule>
  </conditionalFormatting>
  <conditionalFormatting sqref="K15 K13">
    <cfRule type="cellIs" dxfId="331" priority="18" stopIfTrue="1" operator="lessThan">
      <formula>80</formula>
    </cfRule>
  </conditionalFormatting>
  <conditionalFormatting sqref="L15 L13">
    <cfRule type="cellIs" dxfId="330" priority="17" operator="greaterThan">
      <formula>0</formula>
    </cfRule>
  </conditionalFormatting>
  <conditionalFormatting sqref="F15 F19 F13">
    <cfRule type="cellIs" dxfId="329" priority="16" stopIfTrue="1" operator="greaterThan">
      <formula>10</formula>
    </cfRule>
  </conditionalFormatting>
  <conditionalFormatting sqref="K19">
    <cfRule type="cellIs" dxfId="328" priority="15" stopIfTrue="1" operator="lessThan">
      <formula>80</formula>
    </cfRule>
  </conditionalFormatting>
  <conditionalFormatting sqref="I14:J14">
    <cfRule type="cellIs" dxfId="327" priority="14" operator="greaterThan">
      <formula>20</formula>
    </cfRule>
  </conditionalFormatting>
  <conditionalFormatting sqref="J16">
    <cfRule type="cellIs" dxfId="326" priority="13" operator="greaterThan">
      <formula>20</formula>
    </cfRule>
  </conditionalFormatting>
  <conditionalFormatting sqref="I16:I17">
    <cfRule type="cellIs" dxfId="325" priority="12" operator="greaterThan">
      <formula>20</formula>
    </cfRule>
  </conditionalFormatting>
  <conditionalFormatting sqref="I18">
    <cfRule type="cellIs" dxfId="324" priority="11" operator="greaterThan">
      <formula>20</formula>
    </cfRule>
  </conditionalFormatting>
  <conditionalFormatting sqref="I19">
    <cfRule type="cellIs" dxfId="323" priority="10" operator="greaterThan">
      <formula>20</formula>
    </cfRule>
  </conditionalFormatting>
  <conditionalFormatting sqref="I20">
    <cfRule type="cellIs" dxfId="322" priority="9" operator="greaterThan">
      <formula>20</formula>
    </cfRule>
  </conditionalFormatting>
  <conditionalFormatting sqref="J20">
    <cfRule type="cellIs" dxfId="321" priority="8" operator="greaterThan">
      <formula>20</formula>
    </cfRule>
  </conditionalFormatting>
  <conditionalFormatting sqref="D15">
    <cfRule type="cellIs" dxfId="320" priority="7" operator="greaterThan">
      <formula>7</formula>
    </cfRule>
  </conditionalFormatting>
  <conditionalFormatting sqref="D17">
    <cfRule type="cellIs" dxfId="319" priority="6" operator="greaterThan">
      <formula>7</formula>
    </cfRule>
  </conditionalFormatting>
  <conditionalFormatting sqref="B17">
    <cfRule type="cellIs" dxfId="318" priority="5" operator="greaterThan">
      <formula>7</formula>
    </cfRule>
  </conditionalFormatting>
  <conditionalFormatting sqref="K17">
    <cfRule type="cellIs" dxfId="317" priority="4" stopIfTrue="1" operator="lessThan">
      <formula>80</formula>
    </cfRule>
  </conditionalFormatting>
  <conditionalFormatting sqref="L17">
    <cfRule type="cellIs" dxfId="316" priority="3" operator="greaterThan">
      <formula>0</formula>
    </cfRule>
  </conditionalFormatting>
  <conditionalFormatting sqref="L19">
    <cfRule type="cellIs" dxfId="315" priority="2" operator="greaterThan">
      <formula>0</formula>
    </cfRule>
  </conditionalFormatting>
  <conditionalFormatting sqref="F17">
    <cfRule type="cellIs" dxfId="314" priority="1" stopIfTrue="1" operator="greaterThan">
      <formula>10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zoomScale="69" zoomScaleNormal="100" zoomScaleSheetLayoutView="69" zoomScalePageLayoutView="80" workbookViewId="0">
      <selection activeCell="B9" sqref="B9:C10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100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2"/>
    </row>
    <row r="2" spans="1:12" ht="40.5" customHeight="1" x14ac:dyDescent="0.2">
      <c r="A2" s="103" t="s">
        <v>25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5"/>
    </row>
    <row r="3" spans="1:12" ht="40.5" customHeight="1" x14ac:dyDescent="0.2">
      <c r="A3" s="106" t="s">
        <v>24</v>
      </c>
      <c r="B3" s="106"/>
      <c r="C3" s="106" t="s">
        <v>23</v>
      </c>
      <c r="D3" s="106"/>
      <c r="E3" s="106" t="s">
        <v>22</v>
      </c>
      <c r="F3" s="106"/>
      <c r="G3" s="106"/>
      <c r="H3" s="106" t="s">
        <v>21</v>
      </c>
      <c r="I3" s="106"/>
      <c r="J3" s="106"/>
      <c r="K3" s="106" t="s">
        <v>20</v>
      </c>
      <c r="L3" s="106"/>
    </row>
    <row r="4" spans="1:12" ht="40.5" customHeight="1" x14ac:dyDescent="0.2">
      <c r="A4" s="91">
        <v>48527531</v>
      </c>
      <c r="B4" s="91"/>
      <c r="C4" s="91"/>
      <c r="D4" s="91"/>
      <c r="E4" s="91" t="s">
        <v>45</v>
      </c>
      <c r="F4" s="91"/>
      <c r="G4" s="91"/>
      <c r="H4" s="91" t="s">
        <v>19</v>
      </c>
      <c r="I4" s="91"/>
      <c r="J4" s="91"/>
      <c r="K4" s="92" t="s">
        <v>18</v>
      </c>
      <c r="L4" s="92"/>
    </row>
    <row r="5" spans="1:12" ht="40.5" customHeight="1" thickBot="1" x14ac:dyDescent="0.25">
      <c r="A5" s="97" t="s">
        <v>17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67" t="s">
        <v>16</v>
      </c>
      <c r="B7" s="93" t="s">
        <v>15</v>
      </c>
      <c r="C7" s="94"/>
      <c r="D7" s="87" t="s">
        <v>14</v>
      </c>
      <c r="E7" s="87"/>
      <c r="F7" s="89" t="s">
        <v>13</v>
      </c>
      <c r="G7" s="90"/>
      <c r="H7" s="87" t="s">
        <v>12</v>
      </c>
      <c r="I7" s="87"/>
      <c r="J7" s="87"/>
      <c r="K7" s="69" t="s">
        <v>11</v>
      </c>
      <c r="L7" s="70"/>
    </row>
    <row r="8" spans="1:12" ht="24.95" customHeight="1" thickBot="1" x14ac:dyDescent="0.25">
      <c r="A8" s="68"/>
      <c r="B8" s="95"/>
      <c r="C8" s="96"/>
      <c r="D8" s="88"/>
      <c r="E8" s="88"/>
      <c r="F8" s="5" t="s">
        <v>10</v>
      </c>
      <c r="G8" s="5" t="s">
        <v>9</v>
      </c>
      <c r="H8" s="88"/>
      <c r="I8" s="88"/>
      <c r="J8" s="88"/>
      <c r="K8" s="71"/>
      <c r="L8" s="72"/>
    </row>
    <row r="9" spans="1:12" ht="24.95" customHeight="1" thickBot="1" x14ac:dyDescent="0.25">
      <c r="A9" s="73">
        <v>622.20000000000005</v>
      </c>
      <c r="B9" s="75">
        <v>25</v>
      </c>
      <c r="C9" s="76"/>
      <c r="D9" s="42">
        <f>AVERAGE(B13:E24)</f>
        <v>3.6675</v>
      </c>
      <c r="E9" s="44"/>
      <c r="F9" s="61">
        <f>AVERAGE(I13,I15,I17,I19)</f>
        <v>4.1000000000000005</v>
      </c>
      <c r="G9" s="62"/>
      <c r="H9" s="79">
        <f>AVERAGE(K13,K15,K17,K19)</f>
        <v>95.899999999999991</v>
      </c>
      <c r="I9" s="80"/>
      <c r="J9" s="81"/>
      <c r="K9" s="79">
        <f>AVERAGE(L13,L15,L17,L19)</f>
        <v>0</v>
      </c>
      <c r="L9" s="81"/>
    </row>
    <row r="10" spans="1:12" ht="24.95" customHeight="1" thickBot="1" x14ac:dyDescent="0.25">
      <c r="A10" s="74"/>
      <c r="B10" s="77"/>
      <c r="C10" s="78"/>
      <c r="D10" s="48"/>
      <c r="E10" s="50"/>
      <c r="F10" s="3">
        <f>AVERAGE(I14,I16,I18,I20)</f>
        <v>2.1999999999999997</v>
      </c>
      <c r="G10" s="3">
        <f>AVERAGE(J14,J16,J18,J20)</f>
        <v>1.8666666666666665</v>
      </c>
      <c r="H10" s="82"/>
      <c r="I10" s="83"/>
      <c r="J10" s="84"/>
      <c r="K10" s="82"/>
      <c r="L10" s="84"/>
    </row>
    <row r="11" spans="1:12" ht="24.95" customHeight="1" thickBot="1" x14ac:dyDescent="0.25">
      <c r="A11" s="67" t="s">
        <v>8</v>
      </c>
      <c r="B11" s="69" t="s">
        <v>7</v>
      </c>
      <c r="C11" s="70"/>
      <c r="D11" s="69" t="s">
        <v>6</v>
      </c>
      <c r="E11" s="70"/>
      <c r="F11" s="69" t="s">
        <v>5</v>
      </c>
      <c r="G11" s="87"/>
      <c r="H11" s="70"/>
      <c r="I11" s="89" t="s">
        <v>4</v>
      </c>
      <c r="J11" s="90"/>
      <c r="K11" s="85" t="s">
        <v>3</v>
      </c>
      <c r="L11" s="70" t="s">
        <v>2</v>
      </c>
    </row>
    <row r="12" spans="1:12" ht="24.95" customHeight="1" thickBot="1" x14ac:dyDescent="0.25">
      <c r="A12" s="68"/>
      <c r="B12" s="71"/>
      <c r="C12" s="72"/>
      <c r="D12" s="71"/>
      <c r="E12" s="72"/>
      <c r="F12" s="71"/>
      <c r="G12" s="88"/>
      <c r="H12" s="72"/>
      <c r="I12" s="5" t="s">
        <v>1</v>
      </c>
      <c r="J12" s="25" t="s">
        <v>0</v>
      </c>
      <c r="K12" s="86"/>
      <c r="L12" s="72"/>
    </row>
    <row r="13" spans="1:12" ht="24.95" customHeight="1" thickBot="1" x14ac:dyDescent="0.25">
      <c r="A13" s="53">
        <v>0.33333333333333331</v>
      </c>
      <c r="B13" s="42">
        <v>5.13</v>
      </c>
      <c r="C13" s="44"/>
      <c r="D13" s="42">
        <v>4.5999999999999996</v>
      </c>
      <c r="E13" s="44"/>
      <c r="F13" s="63">
        <v>6.48</v>
      </c>
      <c r="G13" s="64"/>
      <c r="H13" s="107"/>
      <c r="I13" s="61">
        <v>4.5999999999999996</v>
      </c>
      <c r="J13" s="62"/>
      <c r="K13" s="39">
        <v>95.4</v>
      </c>
      <c r="L13" s="39">
        <v>0</v>
      </c>
    </row>
    <row r="14" spans="1:12" ht="24.95" customHeight="1" thickBot="1" x14ac:dyDescent="0.25">
      <c r="A14" s="54"/>
      <c r="B14" s="48"/>
      <c r="C14" s="50"/>
      <c r="D14" s="48"/>
      <c r="E14" s="50"/>
      <c r="F14" s="65"/>
      <c r="G14" s="66"/>
      <c r="H14" s="108"/>
      <c r="I14" s="3">
        <v>2.4</v>
      </c>
      <c r="J14" s="24">
        <v>2.1</v>
      </c>
      <c r="K14" s="40"/>
      <c r="L14" s="40"/>
    </row>
    <row r="15" spans="1:12" ht="24.95" customHeight="1" thickBot="1" x14ac:dyDescent="0.25">
      <c r="A15" s="53">
        <v>0.41666666666666669</v>
      </c>
      <c r="B15" s="42"/>
      <c r="C15" s="44"/>
      <c r="D15" s="42"/>
      <c r="E15" s="44"/>
      <c r="F15" s="63">
        <v>4.62</v>
      </c>
      <c r="G15" s="64"/>
      <c r="H15" s="107"/>
      <c r="I15" s="61">
        <v>4.4000000000000004</v>
      </c>
      <c r="J15" s="62"/>
      <c r="K15" s="39">
        <v>95.6</v>
      </c>
      <c r="L15" s="39">
        <v>0</v>
      </c>
    </row>
    <row r="16" spans="1:12" ht="24.95" customHeight="1" thickBot="1" x14ac:dyDescent="0.25">
      <c r="A16" s="54"/>
      <c r="B16" s="48"/>
      <c r="C16" s="50"/>
      <c r="D16" s="48"/>
      <c r="E16" s="50"/>
      <c r="F16" s="65"/>
      <c r="G16" s="66"/>
      <c r="H16" s="108"/>
      <c r="I16" s="3">
        <v>2.4</v>
      </c>
      <c r="J16" s="24">
        <v>2</v>
      </c>
      <c r="K16" s="40"/>
      <c r="L16" s="40"/>
    </row>
    <row r="17" spans="1:12" ht="24.95" customHeight="1" thickBot="1" x14ac:dyDescent="0.25">
      <c r="A17" s="53">
        <v>0.5</v>
      </c>
      <c r="B17" s="42">
        <v>1.88</v>
      </c>
      <c r="C17" s="44"/>
      <c r="D17" s="42">
        <v>3.81</v>
      </c>
      <c r="E17" s="44"/>
      <c r="F17" s="63"/>
      <c r="G17" s="64"/>
      <c r="H17" s="26"/>
      <c r="I17" s="61"/>
      <c r="J17" s="62"/>
      <c r="K17" s="39"/>
      <c r="L17" s="39"/>
    </row>
    <row r="18" spans="1:12" ht="24.95" customHeight="1" thickBot="1" x14ac:dyDescent="0.25">
      <c r="A18" s="54"/>
      <c r="B18" s="48"/>
      <c r="C18" s="50"/>
      <c r="D18" s="48"/>
      <c r="E18" s="50"/>
      <c r="F18" s="65"/>
      <c r="G18" s="66"/>
      <c r="H18" s="10"/>
      <c r="I18" s="3"/>
      <c r="J18" s="27"/>
      <c r="K18" s="40"/>
      <c r="L18" s="40"/>
    </row>
    <row r="19" spans="1:12" ht="24.95" customHeight="1" thickBot="1" x14ac:dyDescent="0.25">
      <c r="A19" s="53">
        <v>0.58333333333333337</v>
      </c>
      <c r="B19" s="42"/>
      <c r="C19" s="43"/>
      <c r="D19" s="43"/>
      <c r="E19" s="44"/>
      <c r="F19" s="63">
        <v>8.83</v>
      </c>
      <c r="G19" s="64"/>
      <c r="H19" s="107"/>
      <c r="I19" s="61">
        <v>3.3</v>
      </c>
      <c r="J19" s="62"/>
      <c r="K19" s="39">
        <v>96.7</v>
      </c>
      <c r="L19" s="39">
        <v>0</v>
      </c>
    </row>
    <row r="20" spans="1:12" ht="24.95" customHeight="1" thickBot="1" x14ac:dyDescent="0.25">
      <c r="A20" s="54"/>
      <c r="B20" s="48"/>
      <c r="C20" s="49"/>
      <c r="D20" s="49"/>
      <c r="E20" s="50"/>
      <c r="F20" s="65"/>
      <c r="G20" s="66"/>
      <c r="H20" s="108"/>
      <c r="I20" s="3">
        <v>1.8</v>
      </c>
      <c r="J20" s="24">
        <v>1.5</v>
      </c>
      <c r="K20" s="40"/>
      <c r="L20" s="40"/>
    </row>
    <row r="21" spans="1:12" ht="50.1" customHeight="1" thickBot="1" x14ac:dyDescent="0.25">
      <c r="A21" s="1">
        <v>0.66666666666666663</v>
      </c>
      <c r="B21" s="41">
        <v>6.2</v>
      </c>
      <c r="C21" s="41"/>
      <c r="D21" s="41">
        <v>5.31</v>
      </c>
      <c r="E21" s="41"/>
      <c r="F21" s="42"/>
      <c r="G21" s="43"/>
      <c r="H21" s="43"/>
      <c r="I21" s="43"/>
      <c r="J21" s="43"/>
      <c r="K21" s="43"/>
      <c r="L21" s="44"/>
    </row>
    <row r="22" spans="1:12" ht="50.1" customHeight="1" thickBot="1" x14ac:dyDescent="0.25">
      <c r="A22" s="1">
        <v>0.83333333333333337</v>
      </c>
      <c r="B22" s="41">
        <v>2.2599999999999998</v>
      </c>
      <c r="C22" s="41"/>
      <c r="D22" s="41">
        <v>1.8</v>
      </c>
      <c r="E22" s="41"/>
      <c r="F22" s="45"/>
      <c r="G22" s="46"/>
      <c r="H22" s="46"/>
      <c r="I22" s="46"/>
      <c r="J22" s="46"/>
      <c r="K22" s="46"/>
      <c r="L22" s="47"/>
    </row>
    <row r="23" spans="1:12" ht="50.1" customHeight="1" thickBot="1" x14ac:dyDescent="0.25">
      <c r="A23" s="1">
        <v>1</v>
      </c>
      <c r="B23" s="51">
        <v>5.63</v>
      </c>
      <c r="C23" s="52"/>
      <c r="D23" s="51">
        <v>1.92</v>
      </c>
      <c r="E23" s="52"/>
      <c r="F23" s="45"/>
      <c r="G23" s="46"/>
      <c r="H23" s="46"/>
      <c r="I23" s="46"/>
      <c r="J23" s="46"/>
      <c r="K23" s="46"/>
      <c r="L23" s="47"/>
    </row>
    <row r="24" spans="1:12" ht="50.1" customHeight="1" thickBot="1" x14ac:dyDescent="0.25">
      <c r="A24" s="1">
        <v>0.16666666666666666</v>
      </c>
      <c r="B24" s="41">
        <v>4.2300000000000004</v>
      </c>
      <c r="C24" s="41"/>
      <c r="D24" s="41">
        <v>1.24</v>
      </c>
      <c r="E24" s="41"/>
      <c r="F24" s="48"/>
      <c r="G24" s="49"/>
      <c r="H24" s="49"/>
      <c r="I24" s="49"/>
      <c r="J24" s="49"/>
      <c r="K24" s="49"/>
      <c r="L24" s="50"/>
    </row>
  </sheetData>
  <mergeCells count="68">
    <mergeCell ref="B19:E20"/>
    <mergeCell ref="F19:H20"/>
    <mergeCell ref="I19:J19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  <mergeCell ref="L19:L20"/>
    <mergeCell ref="K17:K18"/>
    <mergeCell ref="L17:L18"/>
    <mergeCell ref="A15:A16"/>
    <mergeCell ref="B15:C16"/>
    <mergeCell ref="D15:E16"/>
    <mergeCell ref="F15:H16"/>
    <mergeCell ref="I15:J15"/>
    <mergeCell ref="K15:K16"/>
    <mergeCell ref="A17:A18"/>
    <mergeCell ref="B17:C18"/>
    <mergeCell ref="D17:E18"/>
    <mergeCell ref="F17:G18"/>
    <mergeCell ref="I17:J17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</mergeCells>
  <conditionalFormatting sqref="D9">
    <cfRule type="cellIs" dxfId="313" priority="24" operator="greaterThan">
      <formula>7</formula>
    </cfRule>
  </conditionalFormatting>
  <conditionalFormatting sqref="F9">
    <cfRule type="cellIs" dxfId="312" priority="23" operator="greaterThan">
      <formula>20</formula>
    </cfRule>
  </conditionalFormatting>
  <conditionalFormatting sqref="H9:J10">
    <cfRule type="cellIs" dxfId="311" priority="22" operator="lessThan">
      <formula>80</formula>
    </cfRule>
  </conditionalFormatting>
  <conditionalFormatting sqref="K9:L10">
    <cfRule type="cellIs" dxfId="310" priority="21" operator="greaterThan">
      <formula>0</formula>
    </cfRule>
  </conditionalFormatting>
  <conditionalFormatting sqref="B24:E24 B23 D23 B22:E22 B21:F21 B15 B19 D13 B13">
    <cfRule type="cellIs" dxfId="309" priority="20" operator="greaterThan">
      <formula>7</formula>
    </cfRule>
  </conditionalFormatting>
  <conditionalFormatting sqref="I15 I13">
    <cfRule type="cellIs" dxfId="308" priority="19" operator="greaterThan">
      <formula>20</formula>
    </cfRule>
  </conditionalFormatting>
  <conditionalFormatting sqref="K15 K13">
    <cfRule type="cellIs" dxfId="307" priority="18" stopIfTrue="1" operator="lessThan">
      <formula>80</formula>
    </cfRule>
  </conditionalFormatting>
  <conditionalFormatting sqref="L15 L13">
    <cfRule type="cellIs" dxfId="306" priority="17" operator="greaterThan">
      <formula>0</formula>
    </cfRule>
  </conditionalFormatting>
  <conditionalFormatting sqref="F15 F19 F13">
    <cfRule type="cellIs" dxfId="305" priority="16" stopIfTrue="1" operator="greaterThan">
      <formula>10</formula>
    </cfRule>
  </conditionalFormatting>
  <conditionalFormatting sqref="K19">
    <cfRule type="cellIs" dxfId="304" priority="15" stopIfTrue="1" operator="lessThan">
      <formula>80</formula>
    </cfRule>
  </conditionalFormatting>
  <conditionalFormatting sqref="I14:J14">
    <cfRule type="cellIs" dxfId="303" priority="14" operator="greaterThan">
      <formula>20</formula>
    </cfRule>
  </conditionalFormatting>
  <conditionalFormatting sqref="J16">
    <cfRule type="cellIs" dxfId="302" priority="13" operator="greaterThan">
      <formula>20</formula>
    </cfRule>
  </conditionalFormatting>
  <conditionalFormatting sqref="I16:I17">
    <cfRule type="cellIs" dxfId="301" priority="12" operator="greaterThan">
      <formula>20</formula>
    </cfRule>
  </conditionalFormatting>
  <conditionalFormatting sqref="I18">
    <cfRule type="cellIs" dxfId="300" priority="11" operator="greaterThan">
      <formula>20</formula>
    </cfRule>
  </conditionalFormatting>
  <conditionalFormatting sqref="I19">
    <cfRule type="cellIs" dxfId="299" priority="10" operator="greaterThan">
      <formula>20</formula>
    </cfRule>
  </conditionalFormatting>
  <conditionalFormatting sqref="I20">
    <cfRule type="cellIs" dxfId="298" priority="9" operator="greaterThan">
      <formula>20</formula>
    </cfRule>
  </conditionalFormatting>
  <conditionalFormatting sqref="J20">
    <cfRule type="cellIs" dxfId="297" priority="8" operator="greaterThan">
      <formula>20</formula>
    </cfRule>
  </conditionalFormatting>
  <conditionalFormatting sqref="D15">
    <cfRule type="cellIs" dxfId="296" priority="7" operator="greaterThan">
      <formula>7</formula>
    </cfRule>
  </conditionalFormatting>
  <conditionalFormatting sqref="D17">
    <cfRule type="cellIs" dxfId="295" priority="6" operator="greaterThan">
      <formula>7</formula>
    </cfRule>
  </conditionalFormatting>
  <conditionalFormatting sqref="B17">
    <cfRule type="cellIs" dxfId="294" priority="5" operator="greaterThan">
      <formula>7</formula>
    </cfRule>
  </conditionalFormatting>
  <conditionalFormatting sqref="K17">
    <cfRule type="cellIs" dxfId="293" priority="4" stopIfTrue="1" operator="lessThan">
      <formula>80</formula>
    </cfRule>
  </conditionalFormatting>
  <conditionalFormatting sqref="L17">
    <cfRule type="cellIs" dxfId="292" priority="3" operator="greaterThan">
      <formula>0</formula>
    </cfRule>
  </conditionalFormatting>
  <conditionalFormatting sqref="L19">
    <cfRule type="cellIs" dxfId="291" priority="2" operator="greaterThan">
      <formula>0</formula>
    </cfRule>
  </conditionalFormatting>
  <conditionalFormatting sqref="F17">
    <cfRule type="cellIs" dxfId="290" priority="1" stopIfTrue="1" operator="greaterThan">
      <formula>10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view="pageBreakPreview" topLeftCell="A8" zoomScale="60" zoomScaleNormal="100" zoomScalePageLayoutView="80" workbookViewId="0">
      <selection activeCell="L17" sqref="L17:L18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100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2"/>
    </row>
    <row r="2" spans="1:12" ht="40.5" customHeight="1" x14ac:dyDescent="0.2">
      <c r="A2" s="103" t="s">
        <v>25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5"/>
    </row>
    <row r="3" spans="1:12" ht="40.5" customHeight="1" x14ac:dyDescent="0.2">
      <c r="A3" s="106" t="s">
        <v>24</v>
      </c>
      <c r="B3" s="106"/>
      <c r="C3" s="106" t="s">
        <v>23</v>
      </c>
      <c r="D3" s="106"/>
      <c r="E3" s="106" t="s">
        <v>22</v>
      </c>
      <c r="F3" s="106"/>
      <c r="G3" s="106"/>
      <c r="H3" s="106" t="s">
        <v>21</v>
      </c>
      <c r="I3" s="106"/>
      <c r="J3" s="106"/>
      <c r="K3" s="106" t="s">
        <v>20</v>
      </c>
      <c r="L3" s="106"/>
    </row>
    <row r="4" spans="1:12" ht="40.5" customHeight="1" x14ac:dyDescent="0.2">
      <c r="A4" s="91">
        <v>48527531</v>
      </c>
      <c r="B4" s="91"/>
      <c r="C4" s="91"/>
      <c r="D4" s="91"/>
      <c r="E4" s="91" t="s">
        <v>46</v>
      </c>
      <c r="F4" s="91"/>
      <c r="G4" s="91"/>
      <c r="H4" s="91" t="s">
        <v>19</v>
      </c>
      <c r="I4" s="91"/>
      <c r="J4" s="91"/>
      <c r="K4" s="92" t="s">
        <v>18</v>
      </c>
      <c r="L4" s="92"/>
    </row>
    <row r="5" spans="1:12" ht="40.5" customHeight="1" thickBot="1" x14ac:dyDescent="0.25">
      <c r="A5" s="97" t="s">
        <v>17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67" t="s">
        <v>16</v>
      </c>
      <c r="B7" s="93" t="s">
        <v>15</v>
      </c>
      <c r="C7" s="94"/>
      <c r="D7" s="87" t="s">
        <v>14</v>
      </c>
      <c r="E7" s="87"/>
      <c r="F7" s="89" t="s">
        <v>13</v>
      </c>
      <c r="G7" s="90"/>
      <c r="H7" s="87" t="s">
        <v>12</v>
      </c>
      <c r="I7" s="87"/>
      <c r="J7" s="87"/>
      <c r="K7" s="69" t="s">
        <v>11</v>
      </c>
      <c r="L7" s="70"/>
    </row>
    <row r="8" spans="1:12" ht="24.95" customHeight="1" thickBot="1" x14ac:dyDescent="0.25">
      <c r="A8" s="68"/>
      <c r="B8" s="95"/>
      <c r="C8" s="96"/>
      <c r="D8" s="88"/>
      <c r="E8" s="88"/>
      <c r="F8" s="5" t="s">
        <v>10</v>
      </c>
      <c r="G8" s="5" t="s">
        <v>9</v>
      </c>
      <c r="H8" s="88"/>
      <c r="I8" s="88"/>
      <c r="J8" s="88"/>
      <c r="K8" s="71"/>
      <c r="L8" s="72"/>
    </row>
    <row r="9" spans="1:12" ht="24.95" customHeight="1" thickBot="1" x14ac:dyDescent="0.25">
      <c r="A9" s="73">
        <v>602.5</v>
      </c>
      <c r="B9" s="75">
        <v>24</v>
      </c>
      <c r="C9" s="76"/>
      <c r="D9" s="42">
        <f>AVERAGE(B13:E25)</f>
        <v>4.1138461538461542</v>
      </c>
      <c r="E9" s="44"/>
      <c r="F9" s="61">
        <f>AVERAGE(I13,I15,I17,I19)</f>
        <v>3.9333333333333336</v>
      </c>
      <c r="G9" s="62"/>
      <c r="H9" s="79">
        <f>AVERAGE(K13,K15,K17,K19)</f>
        <v>96.066666666666663</v>
      </c>
      <c r="I9" s="80"/>
      <c r="J9" s="81"/>
      <c r="K9" s="79">
        <f>AVERAGE(L13,L15,L17,L19)</f>
        <v>0</v>
      </c>
      <c r="L9" s="81"/>
    </row>
    <row r="10" spans="1:12" ht="24.95" customHeight="1" thickBot="1" x14ac:dyDescent="0.25">
      <c r="A10" s="74"/>
      <c r="B10" s="77"/>
      <c r="C10" s="78"/>
      <c r="D10" s="48"/>
      <c r="E10" s="50"/>
      <c r="F10" s="3">
        <f>AVERAGE(I14,I16,I18,I20)</f>
        <v>2.3333333333333335</v>
      </c>
      <c r="G10" s="3">
        <f>AVERAGE(J14,J16,J18,J20)</f>
        <v>1.5999999999999999</v>
      </c>
      <c r="H10" s="82"/>
      <c r="I10" s="83"/>
      <c r="J10" s="84"/>
      <c r="K10" s="82"/>
      <c r="L10" s="84"/>
    </row>
    <row r="11" spans="1:12" ht="24.95" customHeight="1" thickBot="1" x14ac:dyDescent="0.25">
      <c r="A11" s="67" t="s">
        <v>8</v>
      </c>
      <c r="B11" s="69" t="s">
        <v>7</v>
      </c>
      <c r="C11" s="70"/>
      <c r="D11" s="69" t="s">
        <v>6</v>
      </c>
      <c r="E11" s="70"/>
      <c r="F11" s="69" t="s">
        <v>5</v>
      </c>
      <c r="G11" s="87"/>
      <c r="H11" s="70"/>
      <c r="I11" s="89" t="s">
        <v>4</v>
      </c>
      <c r="J11" s="90"/>
      <c r="K11" s="85" t="s">
        <v>3</v>
      </c>
      <c r="L11" s="70" t="s">
        <v>2</v>
      </c>
    </row>
    <row r="12" spans="1:12" ht="24.95" customHeight="1" thickBot="1" x14ac:dyDescent="0.25">
      <c r="A12" s="68"/>
      <c r="B12" s="71"/>
      <c r="C12" s="72"/>
      <c r="D12" s="71"/>
      <c r="E12" s="72"/>
      <c r="F12" s="71"/>
      <c r="G12" s="88"/>
      <c r="H12" s="72"/>
      <c r="I12" s="5" t="s">
        <v>1</v>
      </c>
      <c r="J12" s="25" t="s">
        <v>0</v>
      </c>
      <c r="K12" s="86"/>
      <c r="L12" s="72"/>
    </row>
    <row r="13" spans="1:12" ht="24.95" customHeight="1" thickBot="1" x14ac:dyDescent="0.25">
      <c r="A13" s="53">
        <v>0.33333333333333331</v>
      </c>
      <c r="B13" s="42">
        <v>3.31</v>
      </c>
      <c r="C13" s="44"/>
      <c r="D13" s="42">
        <v>1.76</v>
      </c>
      <c r="E13" s="44"/>
      <c r="F13" s="63">
        <v>4.3600000000000003</v>
      </c>
      <c r="G13" s="64"/>
      <c r="H13" s="107"/>
      <c r="I13" s="61">
        <v>4.4000000000000004</v>
      </c>
      <c r="J13" s="62"/>
      <c r="K13" s="39">
        <v>95.6</v>
      </c>
      <c r="L13" s="39">
        <v>0</v>
      </c>
    </row>
    <row r="14" spans="1:12" ht="24.95" customHeight="1" thickBot="1" x14ac:dyDescent="0.25">
      <c r="A14" s="54"/>
      <c r="B14" s="48"/>
      <c r="C14" s="50"/>
      <c r="D14" s="48"/>
      <c r="E14" s="50"/>
      <c r="F14" s="65"/>
      <c r="G14" s="66"/>
      <c r="H14" s="108"/>
      <c r="I14" s="3">
        <v>2.2000000000000002</v>
      </c>
      <c r="J14" s="24">
        <v>2.2000000000000002</v>
      </c>
      <c r="K14" s="40"/>
      <c r="L14" s="40"/>
    </row>
    <row r="15" spans="1:12" ht="24.95" customHeight="1" thickBot="1" x14ac:dyDescent="0.25">
      <c r="A15" s="53">
        <v>0.41666666666666669</v>
      </c>
      <c r="B15" s="42"/>
      <c r="C15" s="44"/>
      <c r="D15" s="42"/>
      <c r="E15" s="44"/>
      <c r="F15" s="63">
        <v>9.26</v>
      </c>
      <c r="G15" s="64"/>
      <c r="H15" s="107"/>
      <c r="I15" s="61">
        <v>3.6</v>
      </c>
      <c r="J15" s="62"/>
      <c r="K15" s="39">
        <v>96.4</v>
      </c>
      <c r="L15" s="39">
        <v>0</v>
      </c>
    </row>
    <row r="16" spans="1:12" ht="24.95" customHeight="1" thickBot="1" x14ac:dyDescent="0.25">
      <c r="A16" s="54"/>
      <c r="B16" s="48"/>
      <c r="C16" s="50"/>
      <c r="D16" s="48"/>
      <c r="E16" s="50"/>
      <c r="F16" s="65"/>
      <c r="G16" s="66"/>
      <c r="H16" s="108"/>
      <c r="I16" s="3">
        <v>2.8</v>
      </c>
      <c r="J16" s="24">
        <v>0.8</v>
      </c>
      <c r="K16" s="40"/>
      <c r="L16" s="40"/>
    </row>
    <row r="17" spans="1:12" ht="24.95" customHeight="1" thickBot="1" x14ac:dyDescent="0.25">
      <c r="A17" s="53">
        <v>0.5</v>
      </c>
      <c r="B17" s="42">
        <v>4.28</v>
      </c>
      <c r="C17" s="44"/>
      <c r="D17" s="42">
        <v>2.63</v>
      </c>
      <c r="E17" s="44"/>
      <c r="F17" s="63"/>
      <c r="G17" s="64"/>
      <c r="H17" s="26"/>
      <c r="I17" s="61"/>
      <c r="J17" s="62"/>
      <c r="K17" s="39"/>
      <c r="L17" s="39"/>
    </row>
    <row r="18" spans="1:12" ht="24.95" customHeight="1" thickBot="1" x14ac:dyDescent="0.25">
      <c r="A18" s="54"/>
      <c r="B18" s="48"/>
      <c r="C18" s="50"/>
      <c r="D18" s="48"/>
      <c r="E18" s="50"/>
      <c r="F18" s="65"/>
      <c r="G18" s="66"/>
      <c r="H18" s="10"/>
      <c r="I18" s="3"/>
      <c r="J18" s="27"/>
      <c r="K18" s="40"/>
      <c r="L18" s="40"/>
    </row>
    <row r="19" spans="1:12" ht="24.95" customHeight="1" thickBot="1" x14ac:dyDescent="0.25">
      <c r="A19" s="53">
        <v>0.58333333333333337</v>
      </c>
      <c r="B19" s="42"/>
      <c r="C19" s="43"/>
      <c r="D19" s="43"/>
      <c r="E19" s="44"/>
      <c r="F19" s="63">
        <v>10.15</v>
      </c>
      <c r="G19" s="64"/>
      <c r="H19" s="107"/>
      <c r="I19" s="61">
        <v>3.8</v>
      </c>
      <c r="J19" s="62"/>
      <c r="K19" s="39">
        <v>96.2</v>
      </c>
      <c r="L19" s="39">
        <v>0</v>
      </c>
    </row>
    <row r="20" spans="1:12" ht="24.95" customHeight="1" thickBot="1" x14ac:dyDescent="0.25">
      <c r="A20" s="54"/>
      <c r="B20" s="48"/>
      <c r="C20" s="49"/>
      <c r="D20" s="49"/>
      <c r="E20" s="50"/>
      <c r="F20" s="65"/>
      <c r="G20" s="66"/>
      <c r="H20" s="108"/>
      <c r="I20" s="3">
        <v>2</v>
      </c>
      <c r="J20" s="24">
        <v>1.8</v>
      </c>
      <c r="K20" s="40"/>
      <c r="L20" s="40"/>
    </row>
    <row r="21" spans="1:12" ht="50.1" customHeight="1" thickBot="1" x14ac:dyDescent="0.25">
      <c r="A21" s="1">
        <v>0.66666666666666663</v>
      </c>
      <c r="B21" s="41">
        <v>5.44</v>
      </c>
      <c r="C21" s="41"/>
      <c r="D21" s="41">
        <v>4.8600000000000003</v>
      </c>
      <c r="E21" s="41"/>
      <c r="F21" s="42"/>
      <c r="G21" s="43"/>
      <c r="H21" s="43"/>
      <c r="I21" s="43"/>
      <c r="J21" s="43"/>
      <c r="K21" s="43"/>
      <c r="L21" s="44"/>
    </row>
    <row r="22" spans="1:12" ht="50.1" customHeight="1" thickBot="1" x14ac:dyDescent="0.25">
      <c r="A22" s="1">
        <v>0.83333333333333337</v>
      </c>
      <c r="B22" s="41">
        <v>8.59</v>
      </c>
      <c r="C22" s="41"/>
      <c r="D22" s="41">
        <v>3.69</v>
      </c>
      <c r="E22" s="41"/>
      <c r="F22" s="45"/>
      <c r="G22" s="46"/>
      <c r="H22" s="46"/>
      <c r="I22" s="46"/>
      <c r="J22" s="46"/>
      <c r="K22" s="46"/>
      <c r="L22" s="47"/>
    </row>
    <row r="23" spans="1:12" ht="50.1" customHeight="1" thickBot="1" x14ac:dyDescent="0.25">
      <c r="A23" s="1">
        <v>0.85416666666666663</v>
      </c>
      <c r="B23" s="51">
        <v>6.43</v>
      </c>
      <c r="C23" s="52"/>
      <c r="D23" s="51"/>
      <c r="E23" s="52"/>
      <c r="F23" s="45"/>
      <c r="G23" s="46"/>
      <c r="H23" s="46"/>
      <c r="I23" s="46"/>
      <c r="J23" s="46"/>
      <c r="K23" s="46"/>
      <c r="L23" s="47"/>
    </row>
    <row r="24" spans="1:12" ht="50.1" customHeight="1" thickBot="1" x14ac:dyDescent="0.25">
      <c r="A24" s="1">
        <v>1</v>
      </c>
      <c r="B24" s="51">
        <v>3.02</v>
      </c>
      <c r="C24" s="52"/>
      <c r="D24" s="51">
        <v>2.27</v>
      </c>
      <c r="E24" s="52"/>
      <c r="F24" s="45"/>
      <c r="G24" s="46"/>
      <c r="H24" s="46"/>
      <c r="I24" s="46"/>
      <c r="J24" s="46"/>
      <c r="K24" s="46"/>
      <c r="L24" s="47"/>
    </row>
    <row r="25" spans="1:12" ht="50.1" customHeight="1" thickBot="1" x14ac:dyDescent="0.25">
      <c r="A25" s="1">
        <v>0.16666666666666666</v>
      </c>
      <c r="B25" s="41">
        <v>4.01</v>
      </c>
      <c r="C25" s="41"/>
      <c r="D25" s="41">
        <v>3.19</v>
      </c>
      <c r="E25" s="41"/>
      <c r="F25" s="48"/>
      <c r="G25" s="49"/>
      <c r="H25" s="49"/>
      <c r="I25" s="49"/>
      <c r="J25" s="49"/>
      <c r="K25" s="49"/>
      <c r="L25" s="50"/>
    </row>
  </sheetData>
  <mergeCells count="70">
    <mergeCell ref="K19:K20"/>
    <mergeCell ref="B21:C21"/>
    <mergeCell ref="D21:E21"/>
    <mergeCell ref="F21:L25"/>
    <mergeCell ref="B22:C22"/>
    <mergeCell ref="D22:E22"/>
    <mergeCell ref="B24:C24"/>
    <mergeCell ref="D24:E24"/>
    <mergeCell ref="B25:C25"/>
    <mergeCell ref="D25:E25"/>
    <mergeCell ref="L19:L20"/>
    <mergeCell ref="B23:C23"/>
    <mergeCell ref="D23:E23"/>
    <mergeCell ref="B19:E20"/>
    <mergeCell ref="F19:H20"/>
    <mergeCell ref="I19:J19"/>
    <mergeCell ref="K17:K18"/>
    <mergeCell ref="L17:L18"/>
    <mergeCell ref="A15:A16"/>
    <mergeCell ref="B15:C16"/>
    <mergeCell ref="D15:E16"/>
    <mergeCell ref="F15:H16"/>
    <mergeCell ref="I15:J15"/>
    <mergeCell ref="K15:K16"/>
    <mergeCell ref="A17:A18"/>
    <mergeCell ref="B17:C18"/>
    <mergeCell ref="D17:E18"/>
    <mergeCell ref="F17:G18"/>
    <mergeCell ref="I17:J17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</mergeCells>
  <conditionalFormatting sqref="D9">
    <cfRule type="cellIs" dxfId="289" priority="24" operator="greaterThan">
      <formula>7</formula>
    </cfRule>
  </conditionalFormatting>
  <conditionalFormatting sqref="F9">
    <cfRule type="cellIs" dxfId="288" priority="23" operator="greaterThan">
      <formula>20</formula>
    </cfRule>
  </conditionalFormatting>
  <conditionalFormatting sqref="H9:J10">
    <cfRule type="cellIs" dxfId="287" priority="22" operator="lessThan">
      <formula>80</formula>
    </cfRule>
  </conditionalFormatting>
  <conditionalFormatting sqref="K9:L10">
    <cfRule type="cellIs" dxfId="286" priority="21" operator="greaterThan">
      <formula>0</formula>
    </cfRule>
  </conditionalFormatting>
  <conditionalFormatting sqref="B25:E25 B22:E22 B21:F21 B15 B19 D13 B13 B23:B24 D23:D24">
    <cfRule type="cellIs" dxfId="285" priority="20" operator="greaterThan">
      <formula>7</formula>
    </cfRule>
  </conditionalFormatting>
  <conditionalFormatting sqref="I15 I13">
    <cfRule type="cellIs" dxfId="284" priority="19" operator="greaterThan">
      <formula>20</formula>
    </cfRule>
  </conditionalFormatting>
  <conditionalFormatting sqref="K15 K13">
    <cfRule type="cellIs" dxfId="283" priority="18" stopIfTrue="1" operator="lessThan">
      <formula>80</formula>
    </cfRule>
  </conditionalFormatting>
  <conditionalFormatting sqref="L15 L13">
    <cfRule type="cellIs" dxfId="282" priority="17" operator="greaterThan">
      <formula>0</formula>
    </cfRule>
  </conditionalFormatting>
  <conditionalFormatting sqref="F15 F19 F13">
    <cfRule type="cellIs" dxfId="281" priority="16" stopIfTrue="1" operator="greaterThan">
      <formula>10</formula>
    </cfRule>
  </conditionalFormatting>
  <conditionalFormatting sqref="K19">
    <cfRule type="cellIs" dxfId="280" priority="15" stopIfTrue="1" operator="lessThan">
      <formula>80</formula>
    </cfRule>
  </conditionalFormatting>
  <conditionalFormatting sqref="I14:J14">
    <cfRule type="cellIs" dxfId="279" priority="14" operator="greaterThan">
      <formula>20</formula>
    </cfRule>
  </conditionalFormatting>
  <conditionalFormatting sqref="J16">
    <cfRule type="cellIs" dxfId="278" priority="13" operator="greaterThan">
      <formula>20</formula>
    </cfRule>
  </conditionalFormatting>
  <conditionalFormatting sqref="I16:I17">
    <cfRule type="cellIs" dxfId="277" priority="12" operator="greaterThan">
      <formula>20</formula>
    </cfRule>
  </conditionalFormatting>
  <conditionalFormatting sqref="I18">
    <cfRule type="cellIs" dxfId="276" priority="11" operator="greaterThan">
      <formula>20</formula>
    </cfRule>
  </conditionalFormatting>
  <conditionalFormatting sqref="I19">
    <cfRule type="cellIs" dxfId="275" priority="10" operator="greaterThan">
      <formula>20</formula>
    </cfRule>
  </conditionalFormatting>
  <conditionalFormatting sqref="I20">
    <cfRule type="cellIs" dxfId="274" priority="9" operator="greaterThan">
      <formula>20</formula>
    </cfRule>
  </conditionalFormatting>
  <conditionalFormatting sqref="J20">
    <cfRule type="cellIs" dxfId="273" priority="8" operator="greaterThan">
      <formula>20</formula>
    </cfRule>
  </conditionalFormatting>
  <conditionalFormatting sqref="D15">
    <cfRule type="cellIs" dxfId="272" priority="7" operator="greaterThan">
      <formula>7</formula>
    </cfRule>
  </conditionalFormatting>
  <conditionalFormatting sqref="D17">
    <cfRule type="cellIs" dxfId="271" priority="6" operator="greaterThan">
      <formula>7</formula>
    </cfRule>
  </conditionalFormatting>
  <conditionalFormatting sqref="B17">
    <cfRule type="cellIs" dxfId="270" priority="5" operator="greaterThan">
      <formula>7</formula>
    </cfRule>
  </conditionalFormatting>
  <conditionalFormatting sqref="K17">
    <cfRule type="cellIs" dxfId="269" priority="4" stopIfTrue="1" operator="lessThan">
      <formula>80</formula>
    </cfRule>
  </conditionalFormatting>
  <conditionalFormatting sqref="L17">
    <cfRule type="cellIs" dxfId="268" priority="3" operator="greaterThan">
      <formula>0</formula>
    </cfRule>
  </conditionalFormatting>
  <conditionalFormatting sqref="L19">
    <cfRule type="cellIs" dxfId="267" priority="2" operator="greaterThan">
      <formula>0</formula>
    </cfRule>
  </conditionalFormatting>
  <conditionalFormatting sqref="F17">
    <cfRule type="cellIs" dxfId="266" priority="1" stopIfTrue="1" operator="greaterThan">
      <formula>10</formula>
    </cfRule>
  </conditionalFormatting>
  <printOptions horizontalCentered="1"/>
  <pageMargins left="0.7" right="0.7" top="0.75" bottom="0.75" header="0.3" footer="0.3"/>
  <pageSetup scale="55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view="pageBreakPreview" topLeftCell="A3" zoomScale="60" zoomScaleNormal="100" zoomScalePageLayoutView="80" workbookViewId="0">
      <selection activeCell="K3" sqref="K3:L3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100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2"/>
    </row>
    <row r="2" spans="1:12" ht="40.5" customHeight="1" x14ac:dyDescent="0.2">
      <c r="A2" s="103" t="s">
        <v>25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5"/>
    </row>
    <row r="3" spans="1:12" ht="40.5" customHeight="1" x14ac:dyDescent="0.2">
      <c r="A3" s="106" t="s">
        <v>24</v>
      </c>
      <c r="B3" s="106"/>
      <c r="C3" s="106" t="s">
        <v>23</v>
      </c>
      <c r="D3" s="106"/>
      <c r="E3" s="106" t="s">
        <v>22</v>
      </c>
      <c r="F3" s="106"/>
      <c r="G3" s="106"/>
      <c r="H3" s="106" t="s">
        <v>21</v>
      </c>
      <c r="I3" s="106"/>
      <c r="J3" s="106"/>
      <c r="K3" s="106" t="s">
        <v>20</v>
      </c>
      <c r="L3" s="106"/>
    </row>
    <row r="4" spans="1:12" ht="40.5" customHeight="1" x14ac:dyDescent="0.2">
      <c r="A4" s="91">
        <v>48527531</v>
      </c>
      <c r="B4" s="91"/>
      <c r="C4" s="91"/>
      <c r="D4" s="91"/>
      <c r="E4" s="91" t="s">
        <v>47</v>
      </c>
      <c r="F4" s="91"/>
      <c r="G4" s="91"/>
      <c r="H4" s="91" t="s">
        <v>19</v>
      </c>
      <c r="I4" s="91"/>
      <c r="J4" s="91"/>
      <c r="K4" s="92" t="s">
        <v>18</v>
      </c>
      <c r="L4" s="92"/>
    </row>
    <row r="5" spans="1:12" ht="40.5" customHeight="1" thickBot="1" x14ac:dyDescent="0.25">
      <c r="A5" s="97" t="s">
        <v>17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67" t="s">
        <v>16</v>
      </c>
      <c r="B7" s="93" t="s">
        <v>15</v>
      </c>
      <c r="C7" s="94"/>
      <c r="D7" s="87" t="s">
        <v>14</v>
      </c>
      <c r="E7" s="87"/>
      <c r="F7" s="89" t="s">
        <v>13</v>
      </c>
      <c r="G7" s="90"/>
      <c r="H7" s="87" t="s">
        <v>12</v>
      </c>
      <c r="I7" s="87"/>
      <c r="J7" s="87"/>
      <c r="K7" s="69" t="s">
        <v>11</v>
      </c>
      <c r="L7" s="70"/>
    </row>
    <row r="8" spans="1:12" ht="24.95" customHeight="1" thickBot="1" x14ac:dyDescent="0.25">
      <c r="A8" s="68"/>
      <c r="B8" s="95"/>
      <c r="C8" s="96"/>
      <c r="D8" s="88"/>
      <c r="E8" s="88"/>
      <c r="F8" s="5" t="s">
        <v>10</v>
      </c>
      <c r="G8" s="5" t="s">
        <v>9</v>
      </c>
      <c r="H8" s="88"/>
      <c r="I8" s="88"/>
      <c r="J8" s="88"/>
      <c r="K8" s="71"/>
      <c r="L8" s="72"/>
    </row>
    <row r="9" spans="1:12" ht="24.95" customHeight="1" thickBot="1" x14ac:dyDescent="0.25">
      <c r="A9" s="73">
        <v>604.20000000000005</v>
      </c>
      <c r="B9" s="75">
        <v>24</v>
      </c>
      <c r="C9" s="76"/>
      <c r="D9" s="42">
        <f>AVERAGE(B13:E25)</f>
        <v>5.24</v>
      </c>
      <c r="E9" s="44"/>
      <c r="F9" s="61">
        <f>AVERAGE(I13,I15,I17,I20)</f>
        <v>4.166666666666667</v>
      </c>
      <c r="G9" s="62"/>
      <c r="H9" s="79">
        <f>AVERAGE(K13,K15,K17,K20)</f>
        <v>95.833333333333329</v>
      </c>
      <c r="I9" s="80"/>
      <c r="J9" s="81"/>
      <c r="K9" s="79">
        <f>AVERAGE(L13,L15,L17,L20)</f>
        <v>0</v>
      </c>
      <c r="L9" s="81"/>
    </row>
    <row r="10" spans="1:12" ht="24.95" customHeight="1" thickBot="1" x14ac:dyDescent="0.25">
      <c r="A10" s="74"/>
      <c r="B10" s="77"/>
      <c r="C10" s="78"/>
      <c r="D10" s="48"/>
      <c r="E10" s="50"/>
      <c r="F10" s="3">
        <f>AVERAGE(I14,I16,I18,I21)</f>
        <v>1.9000000000000001</v>
      </c>
      <c r="G10" s="3">
        <f>AVERAGE(J14,J16,J18,J21)</f>
        <v>2.2666666666666662</v>
      </c>
      <c r="H10" s="82"/>
      <c r="I10" s="83"/>
      <c r="J10" s="84"/>
      <c r="K10" s="82"/>
      <c r="L10" s="84"/>
    </row>
    <row r="11" spans="1:12" ht="24.95" customHeight="1" thickBot="1" x14ac:dyDescent="0.25">
      <c r="A11" s="67" t="s">
        <v>8</v>
      </c>
      <c r="B11" s="69" t="s">
        <v>7</v>
      </c>
      <c r="C11" s="70"/>
      <c r="D11" s="69" t="s">
        <v>6</v>
      </c>
      <c r="E11" s="70"/>
      <c r="F11" s="69" t="s">
        <v>5</v>
      </c>
      <c r="G11" s="87"/>
      <c r="H11" s="70"/>
      <c r="I11" s="89" t="s">
        <v>4</v>
      </c>
      <c r="J11" s="90"/>
      <c r="K11" s="85" t="s">
        <v>3</v>
      </c>
      <c r="L11" s="70" t="s">
        <v>2</v>
      </c>
    </row>
    <row r="12" spans="1:12" ht="24.95" customHeight="1" thickBot="1" x14ac:dyDescent="0.25">
      <c r="A12" s="68"/>
      <c r="B12" s="71"/>
      <c r="C12" s="72"/>
      <c r="D12" s="71"/>
      <c r="E12" s="72"/>
      <c r="F12" s="71"/>
      <c r="G12" s="88"/>
      <c r="H12" s="72"/>
      <c r="I12" s="5" t="s">
        <v>1</v>
      </c>
      <c r="J12" s="25" t="s">
        <v>0</v>
      </c>
      <c r="K12" s="86"/>
      <c r="L12" s="72"/>
    </row>
    <row r="13" spans="1:12" ht="24.95" customHeight="1" thickBot="1" x14ac:dyDescent="0.25">
      <c r="A13" s="53">
        <v>0.33333333333333331</v>
      </c>
      <c r="B13" s="42">
        <v>3.47</v>
      </c>
      <c r="C13" s="44"/>
      <c r="D13" s="42">
        <v>5.12</v>
      </c>
      <c r="E13" s="44"/>
      <c r="F13" s="63">
        <v>3.68</v>
      </c>
      <c r="G13" s="64"/>
      <c r="H13" s="107"/>
      <c r="I13" s="61">
        <v>4.5999999999999996</v>
      </c>
      <c r="J13" s="62"/>
      <c r="K13" s="39">
        <v>95.4</v>
      </c>
      <c r="L13" s="39">
        <v>0</v>
      </c>
    </row>
    <row r="14" spans="1:12" ht="24.95" customHeight="1" thickBot="1" x14ac:dyDescent="0.25">
      <c r="A14" s="54"/>
      <c r="B14" s="48"/>
      <c r="C14" s="50"/>
      <c r="D14" s="48"/>
      <c r="E14" s="50"/>
      <c r="F14" s="65"/>
      <c r="G14" s="66"/>
      <c r="H14" s="108"/>
      <c r="I14" s="3">
        <v>1.8</v>
      </c>
      <c r="J14" s="24">
        <v>2.8</v>
      </c>
      <c r="K14" s="40"/>
      <c r="L14" s="40"/>
    </row>
    <row r="15" spans="1:12" ht="24.95" customHeight="1" thickBot="1" x14ac:dyDescent="0.25">
      <c r="A15" s="53">
        <v>0.41666666666666669</v>
      </c>
      <c r="B15" s="42"/>
      <c r="C15" s="44"/>
      <c r="D15" s="42"/>
      <c r="E15" s="44"/>
      <c r="F15" s="63">
        <v>6.6</v>
      </c>
      <c r="G15" s="64"/>
      <c r="H15" s="107"/>
      <c r="I15" s="61">
        <v>4</v>
      </c>
      <c r="J15" s="62"/>
      <c r="K15" s="39">
        <v>96</v>
      </c>
      <c r="L15" s="39">
        <v>0</v>
      </c>
    </row>
    <row r="16" spans="1:12" ht="24.95" customHeight="1" thickBot="1" x14ac:dyDescent="0.25">
      <c r="A16" s="54"/>
      <c r="B16" s="48"/>
      <c r="C16" s="50"/>
      <c r="D16" s="48"/>
      <c r="E16" s="50"/>
      <c r="F16" s="65"/>
      <c r="G16" s="66"/>
      <c r="H16" s="108"/>
      <c r="I16" s="3">
        <v>2.1</v>
      </c>
      <c r="J16" s="24">
        <v>1.9</v>
      </c>
      <c r="K16" s="40"/>
      <c r="L16" s="40"/>
    </row>
    <row r="17" spans="1:12" ht="24.95" customHeight="1" thickBot="1" x14ac:dyDescent="0.25">
      <c r="A17" s="53">
        <v>0.5</v>
      </c>
      <c r="B17" s="42">
        <v>6.66</v>
      </c>
      <c r="C17" s="44"/>
      <c r="D17" s="42">
        <v>9.8000000000000007</v>
      </c>
      <c r="E17" s="44"/>
      <c r="F17" s="63"/>
      <c r="G17" s="64"/>
      <c r="H17" s="26"/>
      <c r="I17" s="79"/>
      <c r="J17" s="81"/>
      <c r="K17" s="79"/>
      <c r="L17" s="81"/>
    </row>
    <row r="18" spans="1:12" ht="24.95" customHeight="1" thickBot="1" x14ac:dyDescent="0.25">
      <c r="A18" s="54"/>
      <c r="B18" s="48"/>
      <c r="C18" s="50"/>
      <c r="D18" s="45"/>
      <c r="E18" s="47"/>
      <c r="F18" s="65"/>
      <c r="G18" s="66"/>
      <c r="H18" s="10"/>
      <c r="I18" s="82"/>
      <c r="J18" s="84"/>
      <c r="K18" s="82"/>
      <c r="L18" s="84"/>
    </row>
    <row r="19" spans="1:12" ht="51.75" customHeight="1" thickBot="1" x14ac:dyDescent="0.25">
      <c r="A19" s="36">
        <v>0.54166666666666663</v>
      </c>
      <c r="B19" s="51"/>
      <c r="C19" s="116"/>
      <c r="D19" s="117">
        <v>5.83</v>
      </c>
      <c r="E19" s="118"/>
      <c r="F19" s="119"/>
      <c r="G19" s="120"/>
      <c r="H19" s="37"/>
      <c r="I19" s="61"/>
      <c r="J19" s="62"/>
      <c r="K19" s="61"/>
      <c r="L19" s="62"/>
    </row>
    <row r="20" spans="1:12" ht="24.95" customHeight="1" thickBot="1" x14ac:dyDescent="0.25">
      <c r="A20" s="53">
        <v>0.58333333333333337</v>
      </c>
      <c r="B20" s="42"/>
      <c r="C20" s="43"/>
      <c r="D20" s="46"/>
      <c r="E20" s="47"/>
      <c r="F20" s="63">
        <v>11.2</v>
      </c>
      <c r="G20" s="64"/>
      <c r="H20" s="107"/>
      <c r="I20" s="61">
        <v>3.9</v>
      </c>
      <c r="J20" s="62"/>
      <c r="K20" s="39">
        <v>96.1</v>
      </c>
      <c r="L20" s="39">
        <v>0</v>
      </c>
    </row>
    <row r="21" spans="1:12" ht="24.95" customHeight="1" thickBot="1" x14ac:dyDescent="0.25">
      <c r="A21" s="54"/>
      <c r="B21" s="48"/>
      <c r="C21" s="49"/>
      <c r="D21" s="49"/>
      <c r="E21" s="50"/>
      <c r="F21" s="65"/>
      <c r="G21" s="66"/>
      <c r="H21" s="108"/>
      <c r="I21" s="3">
        <v>1.8</v>
      </c>
      <c r="J21" s="24">
        <v>2.1</v>
      </c>
      <c r="K21" s="40"/>
      <c r="L21" s="40"/>
    </row>
    <row r="22" spans="1:12" ht="50.1" customHeight="1" thickBot="1" x14ac:dyDescent="0.25">
      <c r="A22" s="1">
        <v>0.66666666666666663</v>
      </c>
      <c r="B22" s="41">
        <v>4.6100000000000003</v>
      </c>
      <c r="C22" s="41"/>
      <c r="D22" s="41">
        <v>3.09</v>
      </c>
      <c r="E22" s="41"/>
      <c r="F22" s="42"/>
      <c r="G22" s="43"/>
      <c r="H22" s="43"/>
      <c r="I22" s="43"/>
      <c r="J22" s="43"/>
      <c r="K22" s="43"/>
      <c r="L22" s="44"/>
    </row>
    <row r="23" spans="1:12" ht="50.1" customHeight="1" thickBot="1" x14ac:dyDescent="0.25">
      <c r="A23" s="1">
        <v>0.83333333333333337</v>
      </c>
      <c r="B23" s="41">
        <v>3.09</v>
      </c>
      <c r="C23" s="41"/>
      <c r="D23" s="41">
        <v>4.18</v>
      </c>
      <c r="E23" s="41"/>
      <c r="F23" s="45"/>
      <c r="G23" s="46"/>
      <c r="H23" s="46"/>
      <c r="I23" s="46"/>
      <c r="J23" s="46"/>
      <c r="K23" s="46"/>
      <c r="L23" s="47"/>
    </row>
    <row r="24" spans="1:12" ht="50.1" customHeight="1" thickBot="1" x14ac:dyDescent="0.25">
      <c r="A24" s="1">
        <v>1</v>
      </c>
      <c r="B24" s="51">
        <v>4.12</v>
      </c>
      <c r="C24" s="52"/>
      <c r="D24" s="51">
        <v>5.48</v>
      </c>
      <c r="E24" s="52"/>
      <c r="F24" s="45"/>
      <c r="G24" s="46"/>
      <c r="H24" s="46"/>
      <c r="I24" s="46"/>
      <c r="J24" s="46"/>
      <c r="K24" s="46"/>
      <c r="L24" s="47"/>
    </row>
    <row r="25" spans="1:12" ht="50.1" customHeight="1" thickBot="1" x14ac:dyDescent="0.25">
      <c r="A25" s="1">
        <v>0.16666666666666666</v>
      </c>
      <c r="B25" s="41">
        <v>6.02</v>
      </c>
      <c r="C25" s="41"/>
      <c r="D25" s="41">
        <v>6.65</v>
      </c>
      <c r="E25" s="41"/>
      <c r="F25" s="48"/>
      <c r="G25" s="49"/>
      <c r="H25" s="49"/>
      <c r="I25" s="49"/>
      <c r="J25" s="49"/>
      <c r="K25" s="49"/>
      <c r="L25" s="50"/>
    </row>
  </sheetData>
  <mergeCells count="72">
    <mergeCell ref="B20:E21"/>
    <mergeCell ref="F20:H21"/>
    <mergeCell ref="I20:J20"/>
    <mergeCell ref="K20:K21"/>
    <mergeCell ref="B22:C22"/>
    <mergeCell ref="D22:E22"/>
    <mergeCell ref="F22:L25"/>
    <mergeCell ref="B23:C23"/>
    <mergeCell ref="D23:E23"/>
    <mergeCell ref="B24:C24"/>
    <mergeCell ref="D24:E24"/>
    <mergeCell ref="B25:C25"/>
    <mergeCell ref="D25:E25"/>
    <mergeCell ref="L20:L21"/>
    <mergeCell ref="K15:K16"/>
    <mergeCell ref="A17:A18"/>
    <mergeCell ref="B17:C18"/>
    <mergeCell ref="D17:E18"/>
    <mergeCell ref="F17:G18"/>
    <mergeCell ref="K17:L18"/>
    <mergeCell ref="I17:J18"/>
    <mergeCell ref="A15:A16"/>
    <mergeCell ref="B15:C16"/>
    <mergeCell ref="D15:E16"/>
    <mergeCell ref="F15:H16"/>
    <mergeCell ref="I15:J15"/>
    <mergeCell ref="A20:A21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  <mergeCell ref="B19:C19"/>
    <mergeCell ref="D19:E19"/>
    <mergeCell ref="F19:G19"/>
    <mergeCell ref="K19:L19"/>
    <mergeCell ref="I19:J19"/>
  </mergeCells>
  <conditionalFormatting sqref="D9">
    <cfRule type="cellIs" dxfId="265" priority="25" operator="greaterThan">
      <formula>7</formula>
    </cfRule>
  </conditionalFormatting>
  <conditionalFormatting sqref="F9">
    <cfRule type="cellIs" dxfId="264" priority="24" operator="greaterThan">
      <formula>20</formula>
    </cfRule>
  </conditionalFormatting>
  <conditionalFormatting sqref="H9:J10">
    <cfRule type="cellIs" dxfId="263" priority="23" operator="lessThan">
      <formula>80</formula>
    </cfRule>
  </conditionalFormatting>
  <conditionalFormatting sqref="K9:L10">
    <cfRule type="cellIs" dxfId="262" priority="22" operator="greaterThan">
      <formula>0</formula>
    </cfRule>
  </conditionalFormatting>
  <conditionalFormatting sqref="B25:E25 B24 D24 B23:E23 B22:F22 B15 B20 D13 B13">
    <cfRule type="cellIs" dxfId="261" priority="21" operator="greaterThan">
      <formula>7</formula>
    </cfRule>
  </conditionalFormatting>
  <conditionalFormatting sqref="I15 I13">
    <cfRule type="cellIs" dxfId="260" priority="20" operator="greaterThan">
      <formula>20</formula>
    </cfRule>
  </conditionalFormatting>
  <conditionalFormatting sqref="K15 K13">
    <cfRule type="cellIs" dxfId="259" priority="19" stopIfTrue="1" operator="lessThan">
      <formula>80</formula>
    </cfRule>
  </conditionalFormatting>
  <conditionalFormatting sqref="L15 L13">
    <cfRule type="cellIs" dxfId="258" priority="18" operator="greaterThan">
      <formula>0</formula>
    </cfRule>
  </conditionalFormatting>
  <conditionalFormatting sqref="F15 F20 F13">
    <cfRule type="cellIs" dxfId="257" priority="17" stopIfTrue="1" operator="greaterThan">
      <formula>10</formula>
    </cfRule>
  </conditionalFormatting>
  <conditionalFormatting sqref="K20">
    <cfRule type="cellIs" dxfId="256" priority="16" stopIfTrue="1" operator="lessThan">
      <formula>80</formula>
    </cfRule>
  </conditionalFormatting>
  <conditionalFormatting sqref="I14:J14">
    <cfRule type="cellIs" dxfId="255" priority="15" operator="greaterThan">
      <formula>20</formula>
    </cfRule>
  </conditionalFormatting>
  <conditionalFormatting sqref="J16">
    <cfRule type="cellIs" dxfId="254" priority="14" operator="greaterThan">
      <formula>20</formula>
    </cfRule>
  </conditionalFormatting>
  <conditionalFormatting sqref="I16:I17">
    <cfRule type="cellIs" dxfId="253" priority="13" operator="greaterThan">
      <formula>20</formula>
    </cfRule>
  </conditionalFormatting>
  <conditionalFormatting sqref="I19">
    <cfRule type="cellIs" dxfId="252" priority="12" operator="greaterThan">
      <formula>20</formula>
    </cfRule>
  </conditionalFormatting>
  <conditionalFormatting sqref="I20">
    <cfRule type="cellIs" dxfId="251" priority="11" operator="greaterThan">
      <formula>20</formula>
    </cfRule>
  </conditionalFormatting>
  <conditionalFormatting sqref="I21">
    <cfRule type="cellIs" dxfId="250" priority="10" operator="greaterThan">
      <formula>20</formula>
    </cfRule>
  </conditionalFormatting>
  <conditionalFormatting sqref="J21">
    <cfRule type="cellIs" dxfId="249" priority="9" operator="greaterThan">
      <formula>20</formula>
    </cfRule>
  </conditionalFormatting>
  <conditionalFormatting sqref="D15">
    <cfRule type="cellIs" dxfId="248" priority="8" operator="greaterThan">
      <formula>7</formula>
    </cfRule>
  </conditionalFormatting>
  <conditionalFormatting sqref="D17">
    <cfRule type="cellIs" dxfId="247" priority="7" operator="greaterThan">
      <formula>7</formula>
    </cfRule>
  </conditionalFormatting>
  <conditionalFormatting sqref="B17">
    <cfRule type="cellIs" dxfId="246" priority="6" operator="greaterThan">
      <formula>7</formula>
    </cfRule>
  </conditionalFormatting>
  <conditionalFormatting sqref="L20">
    <cfRule type="cellIs" dxfId="245" priority="3" operator="greaterThan">
      <formula>0</formula>
    </cfRule>
  </conditionalFormatting>
  <conditionalFormatting sqref="F17">
    <cfRule type="cellIs" dxfId="244" priority="2" stopIfTrue="1" operator="greaterThan">
      <formula>10</formula>
    </cfRule>
  </conditionalFormatting>
  <conditionalFormatting sqref="K17">
    <cfRule type="cellIs" dxfId="243" priority="1" operator="greaterThan">
      <formula>20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view="pageBreakPreview" topLeftCell="A4" zoomScale="60" zoomScaleNormal="100" zoomScalePageLayoutView="80" workbookViewId="0">
      <selection activeCell="H9" sqref="H9:J10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100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2"/>
    </row>
    <row r="2" spans="1:12" ht="40.5" customHeight="1" x14ac:dyDescent="0.2">
      <c r="A2" s="103" t="s">
        <v>25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5"/>
    </row>
    <row r="3" spans="1:12" ht="40.5" customHeight="1" x14ac:dyDescent="0.2">
      <c r="A3" s="106" t="s">
        <v>24</v>
      </c>
      <c r="B3" s="106"/>
      <c r="C3" s="106" t="s">
        <v>23</v>
      </c>
      <c r="D3" s="106"/>
      <c r="E3" s="106" t="s">
        <v>22</v>
      </c>
      <c r="F3" s="106"/>
      <c r="G3" s="106"/>
      <c r="H3" s="106" t="s">
        <v>21</v>
      </c>
      <c r="I3" s="106"/>
      <c r="J3" s="106"/>
      <c r="K3" s="106" t="s">
        <v>20</v>
      </c>
      <c r="L3" s="106"/>
    </row>
    <row r="4" spans="1:12" ht="40.5" customHeight="1" x14ac:dyDescent="0.2">
      <c r="A4" s="91">
        <v>48527531</v>
      </c>
      <c r="B4" s="91"/>
      <c r="C4" s="91"/>
      <c r="D4" s="91"/>
      <c r="E4" s="91" t="s">
        <v>48</v>
      </c>
      <c r="F4" s="91"/>
      <c r="G4" s="91"/>
      <c r="H4" s="91" t="s">
        <v>19</v>
      </c>
      <c r="I4" s="91"/>
      <c r="J4" s="91"/>
      <c r="K4" s="92" t="s">
        <v>18</v>
      </c>
      <c r="L4" s="92"/>
    </row>
    <row r="5" spans="1:12" ht="40.5" customHeight="1" thickBot="1" x14ac:dyDescent="0.25">
      <c r="A5" s="97" t="s">
        <v>17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67" t="s">
        <v>16</v>
      </c>
      <c r="B7" s="93" t="s">
        <v>15</v>
      </c>
      <c r="C7" s="94"/>
      <c r="D7" s="87" t="s">
        <v>14</v>
      </c>
      <c r="E7" s="87"/>
      <c r="F7" s="89" t="s">
        <v>13</v>
      </c>
      <c r="G7" s="90"/>
      <c r="H7" s="87" t="s">
        <v>12</v>
      </c>
      <c r="I7" s="87"/>
      <c r="J7" s="87"/>
      <c r="K7" s="69" t="s">
        <v>11</v>
      </c>
      <c r="L7" s="70"/>
    </row>
    <row r="8" spans="1:12" ht="24.95" customHeight="1" thickBot="1" x14ac:dyDescent="0.25">
      <c r="A8" s="68"/>
      <c r="B8" s="95"/>
      <c r="C8" s="96"/>
      <c r="D8" s="88"/>
      <c r="E8" s="88"/>
      <c r="F8" s="5" t="s">
        <v>10</v>
      </c>
      <c r="G8" s="5" t="s">
        <v>9</v>
      </c>
      <c r="H8" s="88"/>
      <c r="I8" s="88"/>
      <c r="J8" s="88"/>
      <c r="K8" s="71"/>
      <c r="L8" s="72"/>
    </row>
    <row r="9" spans="1:12" ht="24.95" customHeight="1" thickBot="1" x14ac:dyDescent="0.25">
      <c r="A9" s="73">
        <v>525.29999999999995</v>
      </c>
      <c r="B9" s="75">
        <v>21</v>
      </c>
      <c r="C9" s="76"/>
      <c r="D9" s="42">
        <f>AVERAGE(B13:E25)</f>
        <v>5.6521428571428567</v>
      </c>
      <c r="E9" s="44"/>
      <c r="F9" s="61">
        <f>AVERAGE(I13,I15,I17,I19)</f>
        <v>4.7666666666666666</v>
      </c>
      <c r="G9" s="62"/>
      <c r="H9" s="79">
        <v>95.5</v>
      </c>
      <c r="I9" s="80"/>
      <c r="J9" s="81"/>
      <c r="K9" s="79">
        <f>AVERAGE(L13,L15,L17,L19)</f>
        <v>1.6666666666666667</v>
      </c>
      <c r="L9" s="81"/>
    </row>
    <row r="10" spans="1:12" ht="24.95" customHeight="1" thickBot="1" x14ac:dyDescent="0.25">
      <c r="A10" s="74"/>
      <c r="B10" s="77"/>
      <c r="C10" s="78"/>
      <c r="D10" s="48"/>
      <c r="E10" s="50"/>
      <c r="F10" s="3">
        <f>AVERAGE(I14,I16,I18,I20)</f>
        <v>2.2666666666666671</v>
      </c>
      <c r="G10" s="3">
        <f>AVERAGE(J14,J16,J18,J20)</f>
        <v>2.5</v>
      </c>
      <c r="H10" s="82"/>
      <c r="I10" s="83"/>
      <c r="J10" s="84"/>
      <c r="K10" s="82"/>
      <c r="L10" s="84"/>
    </row>
    <row r="11" spans="1:12" ht="24.95" customHeight="1" thickBot="1" x14ac:dyDescent="0.25">
      <c r="A11" s="67" t="s">
        <v>8</v>
      </c>
      <c r="B11" s="69" t="s">
        <v>7</v>
      </c>
      <c r="C11" s="70"/>
      <c r="D11" s="69" t="s">
        <v>6</v>
      </c>
      <c r="E11" s="70"/>
      <c r="F11" s="69" t="s">
        <v>5</v>
      </c>
      <c r="G11" s="87"/>
      <c r="H11" s="70"/>
      <c r="I11" s="89" t="s">
        <v>4</v>
      </c>
      <c r="J11" s="90"/>
      <c r="K11" s="85" t="s">
        <v>3</v>
      </c>
      <c r="L11" s="70" t="s">
        <v>2</v>
      </c>
    </row>
    <row r="12" spans="1:12" ht="24.95" customHeight="1" thickBot="1" x14ac:dyDescent="0.25">
      <c r="A12" s="68"/>
      <c r="B12" s="71"/>
      <c r="C12" s="72"/>
      <c r="D12" s="71"/>
      <c r="E12" s="72"/>
      <c r="F12" s="71"/>
      <c r="G12" s="88"/>
      <c r="H12" s="72"/>
      <c r="I12" s="5" t="s">
        <v>1</v>
      </c>
      <c r="J12" s="29" t="s">
        <v>0</v>
      </c>
      <c r="K12" s="86"/>
      <c r="L12" s="72"/>
    </row>
    <row r="13" spans="1:12" ht="24.95" customHeight="1" thickBot="1" x14ac:dyDescent="0.25">
      <c r="A13" s="53">
        <v>0.33333333333333331</v>
      </c>
      <c r="B13" s="42">
        <v>4.13</v>
      </c>
      <c r="C13" s="44"/>
      <c r="D13" s="42">
        <v>4.29</v>
      </c>
      <c r="E13" s="44"/>
      <c r="F13" s="63">
        <v>15.18</v>
      </c>
      <c r="G13" s="64"/>
      <c r="H13" s="107"/>
      <c r="I13" s="61">
        <v>4.2</v>
      </c>
      <c r="J13" s="62"/>
      <c r="K13" s="39">
        <v>95.8</v>
      </c>
      <c r="L13" s="39">
        <v>0</v>
      </c>
    </row>
    <row r="14" spans="1:12" ht="24.95" customHeight="1" thickBot="1" x14ac:dyDescent="0.25">
      <c r="A14" s="54"/>
      <c r="B14" s="48"/>
      <c r="C14" s="50"/>
      <c r="D14" s="48"/>
      <c r="E14" s="50"/>
      <c r="F14" s="65"/>
      <c r="G14" s="66"/>
      <c r="H14" s="108"/>
      <c r="I14" s="3">
        <v>1.8</v>
      </c>
      <c r="J14" s="28">
        <v>2.4</v>
      </c>
      <c r="K14" s="40"/>
      <c r="L14" s="40"/>
    </row>
    <row r="15" spans="1:12" ht="24.95" customHeight="1" thickBot="1" x14ac:dyDescent="0.25">
      <c r="A15" s="53">
        <v>0.41666666666666669</v>
      </c>
      <c r="B15" s="42"/>
      <c r="C15" s="44"/>
      <c r="D15" s="42"/>
      <c r="E15" s="44"/>
      <c r="F15" s="63">
        <v>6.45</v>
      </c>
      <c r="G15" s="64"/>
      <c r="H15" s="107"/>
      <c r="I15" s="61">
        <v>6.3</v>
      </c>
      <c r="J15" s="62"/>
      <c r="K15" s="39">
        <v>93.7</v>
      </c>
      <c r="L15" s="39">
        <v>0</v>
      </c>
    </row>
    <row r="16" spans="1:12" ht="24.95" customHeight="1" thickBot="1" x14ac:dyDescent="0.25">
      <c r="A16" s="54"/>
      <c r="B16" s="48"/>
      <c r="C16" s="50"/>
      <c r="D16" s="48"/>
      <c r="E16" s="50"/>
      <c r="F16" s="65"/>
      <c r="G16" s="66"/>
      <c r="H16" s="108"/>
      <c r="I16" s="3">
        <v>2.9</v>
      </c>
      <c r="J16" s="28">
        <v>3.4</v>
      </c>
      <c r="K16" s="40"/>
      <c r="L16" s="40"/>
    </row>
    <row r="17" spans="1:12" ht="24.95" customHeight="1" thickBot="1" x14ac:dyDescent="0.25">
      <c r="A17" s="53">
        <v>0.5</v>
      </c>
      <c r="B17" s="42">
        <v>7.98</v>
      </c>
      <c r="C17" s="44"/>
      <c r="D17" s="42">
        <v>3.81</v>
      </c>
      <c r="E17" s="44"/>
      <c r="F17" s="63"/>
      <c r="G17" s="64"/>
      <c r="H17" s="30"/>
      <c r="I17" s="61"/>
      <c r="J17" s="62"/>
      <c r="K17" s="39"/>
      <c r="L17" s="39"/>
    </row>
    <row r="18" spans="1:12" ht="24.95" customHeight="1" thickBot="1" x14ac:dyDescent="0.25">
      <c r="A18" s="54"/>
      <c r="B18" s="48"/>
      <c r="C18" s="50"/>
      <c r="D18" s="48"/>
      <c r="E18" s="50"/>
      <c r="F18" s="65"/>
      <c r="G18" s="66"/>
      <c r="H18" s="10"/>
      <c r="I18" s="3"/>
      <c r="J18" s="31"/>
      <c r="K18" s="40"/>
      <c r="L18" s="40"/>
    </row>
    <row r="19" spans="1:12" ht="24.95" customHeight="1" thickBot="1" x14ac:dyDescent="0.25">
      <c r="A19" s="53">
        <v>0.58333333333333337</v>
      </c>
      <c r="B19" s="42">
        <v>5.54</v>
      </c>
      <c r="C19" s="44"/>
      <c r="D19" s="42"/>
      <c r="E19" s="44"/>
      <c r="F19" s="63">
        <v>17.399999999999999</v>
      </c>
      <c r="G19" s="64"/>
      <c r="H19" s="107"/>
      <c r="I19" s="61">
        <v>3.8</v>
      </c>
      <c r="J19" s="62"/>
      <c r="K19" s="39">
        <v>91.2</v>
      </c>
      <c r="L19" s="39">
        <v>5</v>
      </c>
    </row>
    <row r="20" spans="1:12" ht="24.95" customHeight="1" thickBot="1" x14ac:dyDescent="0.25">
      <c r="A20" s="54"/>
      <c r="B20" s="48"/>
      <c r="C20" s="50"/>
      <c r="D20" s="48"/>
      <c r="E20" s="50"/>
      <c r="F20" s="65"/>
      <c r="G20" s="66"/>
      <c r="H20" s="108"/>
      <c r="I20" s="3">
        <v>2.1</v>
      </c>
      <c r="J20" s="28">
        <v>1.7</v>
      </c>
      <c r="K20" s="40"/>
      <c r="L20" s="40"/>
    </row>
    <row r="21" spans="1:12" ht="50.1" customHeight="1" thickBot="1" x14ac:dyDescent="0.25">
      <c r="A21" s="1">
        <v>0.66666666666666663</v>
      </c>
      <c r="B21" s="41">
        <v>5.97</v>
      </c>
      <c r="C21" s="41"/>
      <c r="D21" s="41">
        <v>6.62</v>
      </c>
      <c r="E21" s="41"/>
      <c r="F21" s="42"/>
      <c r="G21" s="43"/>
      <c r="H21" s="43"/>
      <c r="I21" s="43"/>
      <c r="J21" s="43"/>
      <c r="K21" s="43"/>
      <c r="L21" s="44"/>
    </row>
    <row r="22" spans="1:12" ht="50.1" customHeight="1" thickBot="1" x14ac:dyDescent="0.25">
      <c r="A22" s="1">
        <v>0.83333333333333337</v>
      </c>
      <c r="B22" s="41">
        <v>4.3899999999999997</v>
      </c>
      <c r="C22" s="41"/>
      <c r="D22" s="41">
        <v>8.77</v>
      </c>
      <c r="E22" s="41"/>
      <c r="F22" s="45"/>
      <c r="G22" s="46"/>
      <c r="H22" s="46"/>
      <c r="I22" s="46"/>
      <c r="J22" s="46"/>
      <c r="K22" s="46"/>
      <c r="L22" s="47"/>
    </row>
    <row r="23" spans="1:12" ht="50.1" customHeight="1" thickBot="1" x14ac:dyDescent="0.25">
      <c r="A23" s="1">
        <v>0.89583333333333337</v>
      </c>
      <c r="B23" s="51"/>
      <c r="C23" s="52"/>
      <c r="D23" s="51">
        <v>8.99</v>
      </c>
      <c r="E23" s="52"/>
      <c r="F23" s="45"/>
      <c r="G23" s="46"/>
      <c r="H23" s="46"/>
      <c r="I23" s="46"/>
      <c r="J23" s="46"/>
      <c r="K23" s="46"/>
      <c r="L23" s="47"/>
    </row>
    <row r="24" spans="1:12" ht="50.1" customHeight="1" thickBot="1" x14ac:dyDescent="0.25">
      <c r="A24" s="1">
        <v>1</v>
      </c>
      <c r="B24" s="51">
        <v>3.05</v>
      </c>
      <c r="C24" s="52"/>
      <c r="D24" s="51">
        <v>6.78</v>
      </c>
      <c r="E24" s="52"/>
      <c r="F24" s="45"/>
      <c r="G24" s="46"/>
      <c r="H24" s="46"/>
      <c r="I24" s="46"/>
      <c r="J24" s="46"/>
      <c r="K24" s="46"/>
      <c r="L24" s="47"/>
    </row>
    <row r="25" spans="1:12" ht="50.1" customHeight="1" thickBot="1" x14ac:dyDescent="0.25">
      <c r="A25" s="1">
        <v>0.16666666666666666</v>
      </c>
      <c r="B25" s="41">
        <v>4.45</v>
      </c>
      <c r="C25" s="41"/>
      <c r="D25" s="41">
        <v>4.3600000000000003</v>
      </c>
      <c r="E25" s="41"/>
      <c r="F25" s="48"/>
      <c r="G25" s="49"/>
      <c r="H25" s="49"/>
      <c r="I25" s="49"/>
      <c r="J25" s="49"/>
      <c r="K25" s="49"/>
      <c r="L25" s="50"/>
    </row>
  </sheetData>
  <mergeCells count="71">
    <mergeCell ref="F19:H20"/>
    <mergeCell ref="I19:J19"/>
    <mergeCell ref="K19:K20"/>
    <mergeCell ref="B21:C21"/>
    <mergeCell ref="D21:E21"/>
    <mergeCell ref="F21:L25"/>
    <mergeCell ref="B22:C22"/>
    <mergeCell ref="D22:E22"/>
    <mergeCell ref="B24:C24"/>
    <mergeCell ref="D24:E24"/>
    <mergeCell ref="B25:C25"/>
    <mergeCell ref="D25:E25"/>
    <mergeCell ref="L19:L20"/>
    <mergeCell ref="D19:E20"/>
    <mergeCell ref="B19:C20"/>
    <mergeCell ref="D23:E23"/>
    <mergeCell ref="L15:L16"/>
    <mergeCell ref="K17:K18"/>
    <mergeCell ref="L17:L18"/>
    <mergeCell ref="A15:A16"/>
    <mergeCell ref="B15:C16"/>
    <mergeCell ref="D15:E16"/>
    <mergeCell ref="F15:H16"/>
    <mergeCell ref="I15:J15"/>
    <mergeCell ref="K15:K16"/>
    <mergeCell ref="A17:A18"/>
    <mergeCell ref="B17:C18"/>
    <mergeCell ref="D17:E18"/>
    <mergeCell ref="F17:G18"/>
    <mergeCell ref="I17:J17"/>
    <mergeCell ref="K13:K14"/>
    <mergeCell ref="L13:L14"/>
    <mergeCell ref="A11:A12"/>
    <mergeCell ref="B11:C12"/>
    <mergeCell ref="D11:E12"/>
    <mergeCell ref="F11:H12"/>
    <mergeCell ref="I11:J11"/>
    <mergeCell ref="K11:K12"/>
    <mergeCell ref="A13:A14"/>
    <mergeCell ref="B13:C14"/>
    <mergeCell ref="D13:E14"/>
    <mergeCell ref="F13:H14"/>
    <mergeCell ref="I13:J13"/>
    <mergeCell ref="A4:B4"/>
    <mergeCell ref="C4:D4"/>
    <mergeCell ref="E4:G4"/>
    <mergeCell ref="H4:J4"/>
    <mergeCell ref="K4:L4"/>
    <mergeCell ref="A1:L1"/>
    <mergeCell ref="A2:L2"/>
    <mergeCell ref="A3:B3"/>
    <mergeCell ref="C3:D3"/>
    <mergeCell ref="E3:G3"/>
    <mergeCell ref="H3:J3"/>
    <mergeCell ref="K3:L3"/>
    <mergeCell ref="B23:C23"/>
    <mergeCell ref="A5:L5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19:A20"/>
    <mergeCell ref="L11:L12"/>
  </mergeCells>
  <conditionalFormatting sqref="D9">
    <cfRule type="cellIs" dxfId="242" priority="26" operator="greaterThan">
      <formula>7</formula>
    </cfRule>
  </conditionalFormatting>
  <conditionalFormatting sqref="F9">
    <cfRule type="cellIs" dxfId="241" priority="25" operator="greaterThan">
      <formula>20</formula>
    </cfRule>
  </conditionalFormatting>
  <conditionalFormatting sqref="H9:J10">
    <cfRule type="cellIs" dxfId="240" priority="24" operator="lessThan">
      <formula>80</formula>
    </cfRule>
  </conditionalFormatting>
  <conditionalFormatting sqref="K9:L10">
    <cfRule type="cellIs" dxfId="239" priority="23" operator="greaterThan">
      <formula>0</formula>
    </cfRule>
  </conditionalFormatting>
  <conditionalFormatting sqref="B25:E25 B22:E22 B21:F21 B15 D13 B13 B23:B24 D23:D24">
    <cfRule type="cellIs" dxfId="238" priority="22" operator="greaterThan">
      <formula>7</formula>
    </cfRule>
  </conditionalFormatting>
  <conditionalFormatting sqref="I15 I13">
    <cfRule type="cellIs" dxfId="237" priority="21" operator="greaterThan">
      <formula>20</formula>
    </cfRule>
  </conditionalFormatting>
  <conditionalFormatting sqref="K15 K13">
    <cfRule type="cellIs" dxfId="236" priority="20" stopIfTrue="1" operator="lessThan">
      <formula>80</formula>
    </cfRule>
  </conditionalFormatting>
  <conditionalFormatting sqref="L15 L13">
    <cfRule type="cellIs" dxfId="235" priority="19" operator="greaterThan">
      <formula>0</formula>
    </cfRule>
  </conditionalFormatting>
  <conditionalFormatting sqref="F15 F19 F13">
    <cfRule type="cellIs" dxfId="234" priority="18" stopIfTrue="1" operator="greaterThan">
      <formula>10</formula>
    </cfRule>
  </conditionalFormatting>
  <conditionalFormatting sqref="K19">
    <cfRule type="cellIs" dxfId="233" priority="17" stopIfTrue="1" operator="lessThan">
      <formula>80</formula>
    </cfRule>
  </conditionalFormatting>
  <conditionalFormatting sqref="I14:J14">
    <cfRule type="cellIs" dxfId="232" priority="16" operator="greaterThan">
      <formula>20</formula>
    </cfRule>
  </conditionalFormatting>
  <conditionalFormatting sqref="J16">
    <cfRule type="cellIs" dxfId="231" priority="15" operator="greaterThan">
      <formula>20</formula>
    </cfRule>
  </conditionalFormatting>
  <conditionalFormatting sqref="I16:I17">
    <cfRule type="cellIs" dxfId="230" priority="14" operator="greaterThan">
      <formula>20</formula>
    </cfRule>
  </conditionalFormatting>
  <conditionalFormatting sqref="I18">
    <cfRule type="cellIs" dxfId="229" priority="13" operator="greaterThan">
      <formula>20</formula>
    </cfRule>
  </conditionalFormatting>
  <conditionalFormatting sqref="I19">
    <cfRule type="cellIs" dxfId="228" priority="12" operator="greaterThan">
      <formula>20</formula>
    </cfRule>
  </conditionalFormatting>
  <conditionalFormatting sqref="I20">
    <cfRule type="cellIs" dxfId="227" priority="11" operator="greaterThan">
      <formula>20</formula>
    </cfRule>
  </conditionalFormatting>
  <conditionalFormatting sqref="J20">
    <cfRule type="cellIs" dxfId="226" priority="10" operator="greaterThan">
      <formula>20</formula>
    </cfRule>
  </conditionalFormatting>
  <conditionalFormatting sqref="D15">
    <cfRule type="cellIs" dxfId="225" priority="9" operator="greaterThan">
      <formula>7</formula>
    </cfRule>
  </conditionalFormatting>
  <conditionalFormatting sqref="D17">
    <cfRule type="cellIs" dxfId="224" priority="8" operator="greaterThan">
      <formula>7</formula>
    </cfRule>
  </conditionalFormatting>
  <conditionalFormatting sqref="B17">
    <cfRule type="cellIs" dxfId="223" priority="7" operator="greaterThan">
      <formula>7</formula>
    </cfRule>
  </conditionalFormatting>
  <conditionalFormatting sqref="L17">
    <cfRule type="cellIs" dxfId="222" priority="5" operator="greaterThan">
      <formula>0</formula>
    </cfRule>
  </conditionalFormatting>
  <conditionalFormatting sqref="L19">
    <cfRule type="cellIs" dxfId="221" priority="4" operator="greaterThan">
      <formula>0</formula>
    </cfRule>
  </conditionalFormatting>
  <conditionalFormatting sqref="F17">
    <cfRule type="cellIs" dxfId="220" priority="3" stopIfTrue="1" operator="greaterThan">
      <formula>10</formula>
    </cfRule>
  </conditionalFormatting>
  <conditionalFormatting sqref="B19 D19">
    <cfRule type="cellIs" dxfId="219" priority="2" operator="greaterThan">
      <formula>7</formula>
    </cfRule>
  </conditionalFormatting>
  <conditionalFormatting sqref="K17">
    <cfRule type="cellIs" dxfId="218" priority="1" operator="greaterThan">
      <formula>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topLeftCell="A7" zoomScale="73" zoomScaleNormal="100" zoomScaleSheetLayoutView="73" zoomScalePageLayoutView="80" workbookViewId="0">
      <selection activeCell="H9" sqref="H9:J10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100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2"/>
    </row>
    <row r="2" spans="1:12" ht="40.5" customHeight="1" x14ac:dyDescent="0.2">
      <c r="A2" s="103" t="s">
        <v>25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5"/>
    </row>
    <row r="3" spans="1:12" ht="40.5" customHeight="1" x14ac:dyDescent="0.2">
      <c r="A3" s="106" t="s">
        <v>24</v>
      </c>
      <c r="B3" s="106"/>
      <c r="C3" s="106" t="s">
        <v>23</v>
      </c>
      <c r="D3" s="106"/>
      <c r="E3" s="106" t="s">
        <v>22</v>
      </c>
      <c r="F3" s="106"/>
      <c r="G3" s="106"/>
      <c r="H3" s="106" t="s">
        <v>21</v>
      </c>
      <c r="I3" s="106"/>
      <c r="J3" s="106"/>
      <c r="K3" s="106" t="s">
        <v>20</v>
      </c>
      <c r="L3" s="106"/>
    </row>
    <row r="4" spans="1:12" ht="40.5" customHeight="1" x14ac:dyDescent="0.2">
      <c r="A4" s="91">
        <v>48527531</v>
      </c>
      <c r="B4" s="91"/>
      <c r="C4" s="91"/>
      <c r="D4" s="91"/>
      <c r="E4" s="91" t="s">
        <v>49</v>
      </c>
      <c r="F4" s="91"/>
      <c r="G4" s="91"/>
      <c r="H4" s="91" t="s">
        <v>19</v>
      </c>
      <c r="I4" s="91"/>
      <c r="J4" s="91"/>
      <c r="K4" s="92" t="s">
        <v>18</v>
      </c>
      <c r="L4" s="92"/>
    </row>
    <row r="5" spans="1:12" ht="40.5" customHeight="1" thickBot="1" x14ac:dyDescent="0.25">
      <c r="A5" s="97" t="s">
        <v>17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67" t="s">
        <v>16</v>
      </c>
      <c r="B7" s="93" t="s">
        <v>15</v>
      </c>
      <c r="C7" s="94"/>
      <c r="D7" s="87" t="s">
        <v>14</v>
      </c>
      <c r="E7" s="87"/>
      <c r="F7" s="89" t="s">
        <v>13</v>
      </c>
      <c r="G7" s="90"/>
      <c r="H7" s="87" t="s">
        <v>12</v>
      </c>
      <c r="I7" s="87"/>
      <c r="J7" s="87"/>
      <c r="K7" s="69" t="s">
        <v>11</v>
      </c>
      <c r="L7" s="70"/>
    </row>
    <row r="8" spans="1:12" ht="24.95" customHeight="1" thickBot="1" x14ac:dyDescent="0.25">
      <c r="A8" s="68"/>
      <c r="B8" s="95"/>
      <c r="C8" s="96"/>
      <c r="D8" s="88"/>
      <c r="E8" s="88"/>
      <c r="F8" s="5" t="s">
        <v>10</v>
      </c>
      <c r="G8" s="5" t="s">
        <v>9</v>
      </c>
      <c r="H8" s="88"/>
      <c r="I8" s="88"/>
      <c r="J8" s="88"/>
      <c r="K8" s="71"/>
      <c r="L8" s="72"/>
    </row>
    <row r="9" spans="1:12" ht="24.95" customHeight="1" thickBot="1" x14ac:dyDescent="0.25">
      <c r="A9" s="73">
        <v>525.17999999999995</v>
      </c>
      <c r="B9" s="75">
        <v>21</v>
      </c>
      <c r="C9" s="76"/>
      <c r="D9" s="42">
        <f>AVERAGE(B13:E24)</f>
        <v>3.5158333333333336</v>
      </c>
      <c r="E9" s="44"/>
      <c r="F9" s="61">
        <v>3.4</v>
      </c>
      <c r="G9" s="62"/>
      <c r="H9" s="79">
        <f>AVERAGE(K13,K15,K17,K19)</f>
        <v>92.933333333333337</v>
      </c>
      <c r="I9" s="80"/>
      <c r="J9" s="81"/>
      <c r="K9" s="79">
        <f>AVERAGE(L13,L15,L17,L19)</f>
        <v>3.7333333333333329</v>
      </c>
      <c r="L9" s="81"/>
    </row>
    <row r="10" spans="1:12" ht="24.95" customHeight="1" thickBot="1" x14ac:dyDescent="0.25">
      <c r="A10" s="74"/>
      <c r="B10" s="77"/>
      <c r="C10" s="78"/>
      <c r="D10" s="48"/>
      <c r="E10" s="50"/>
      <c r="F10" s="3">
        <f>AVERAGE(I14,I16,I18,I20)</f>
        <v>1.3666666666666665</v>
      </c>
      <c r="G10" s="3">
        <f>AVERAGE(J14,J16,J18,J20)</f>
        <v>1.9666666666666668</v>
      </c>
      <c r="H10" s="82"/>
      <c r="I10" s="83"/>
      <c r="J10" s="84"/>
      <c r="K10" s="82"/>
      <c r="L10" s="84"/>
    </row>
    <row r="11" spans="1:12" ht="24.95" customHeight="1" thickBot="1" x14ac:dyDescent="0.25">
      <c r="A11" s="67" t="s">
        <v>8</v>
      </c>
      <c r="B11" s="69" t="s">
        <v>7</v>
      </c>
      <c r="C11" s="70"/>
      <c r="D11" s="69" t="s">
        <v>6</v>
      </c>
      <c r="E11" s="70"/>
      <c r="F11" s="69" t="s">
        <v>5</v>
      </c>
      <c r="G11" s="87"/>
      <c r="H11" s="70"/>
      <c r="I11" s="89" t="s">
        <v>4</v>
      </c>
      <c r="J11" s="90"/>
      <c r="K11" s="85" t="s">
        <v>3</v>
      </c>
      <c r="L11" s="70" t="s">
        <v>2</v>
      </c>
    </row>
    <row r="12" spans="1:12" ht="24.95" customHeight="1" thickBot="1" x14ac:dyDescent="0.25">
      <c r="A12" s="68"/>
      <c r="B12" s="71"/>
      <c r="C12" s="72"/>
      <c r="D12" s="71"/>
      <c r="E12" s="72"/>
      <c r="F12" s="71"/>
      <c r="G12" s="88"/>
      <c r="H12" s="72"/>
      <c r="I12" s="5" t="s">
        <v>1</v>
      </c>
      <c r="J12" s="29" t="s">
        <v>0</v>
      </c>
      <c r="K12" s="86"/>
      <c r="L12" s="72"/>
    </row>
    <row r="13" spans="1:12" ht="24.95" customHeight="1" thickBot="1" x14ac:dyDescent="0.25">
      <c r="A13" s="53">
        <v>0.33333333333333331</v>
      </c>
      <c r="B13" s="42">
        <v>6.33</v>
      </c>
      <c r="C13" s="44"/>
      <c r="D13" s="42">
        <v>4.1399999999999997</v>
      </c>
      <c r="E13" s="44"/>
      <c r="F13" s="63">
        <v>14.88</v>
      </c>
      <c r="G13" s="64"/>
      <c r="H13" s="107"/>
      <c r="I13" s="61">
        <v>3.7</v>
      </c>
      <c r="J13" s="62"/>
      <c r="K13" s="39">
        <v>96.3</v>
      </c>
      <c r="L13" s="39">
        <v>0</v>
      </c>
    </row>
    <row r="14" spans="1:12" ht="24.95" customHeight="1" thickBot="1" x14ac:dyDescent="0.25">
      <c r="A14" s="54"/>
      <c r="B14" s="48"/>
      <c r="C14" s="50"/>
      <c r="D14" s="48"/>
      <c r="E14" s="50"/>
      <c r="F14" s="65"/>
      <c r="G14" s="66"/>
      <c r="H14" s="108"/>
      <c r="I14" s="3">
        <v>1.7</v>
      </c>
      <c r="J14" s="28">
        <v>2</v>
      </c>
      <c r="K14" s="40"/>
      <c r="L14" s="40"/>
    </row>
    <row r="15" spans="1:12" ht="24.95" customHeight="1" thickBot="1" x14ac:dyDescent="0.25">
      <c r="A15" s="53">
        <v>0.41666666666666669</v>
      </c>
      <c r="B15" s="42"/>
      <c r="C15" s="44"/>
      <c r="D15" s="42"/>
      <c r="E15" s="44"/>
      <c r="F15" s="63">
        <v>18.47</v>
      </c>
      <c r="G15" s="64"/>
      <c r="H15" s="107"/>
      <c r="I15" s="61">
        <v>3</v>
      </c>
      <c r="J15" s="62"/>
      <c r="K15" s="39">
        <v>90.7</v>
      </c>
      <c r="L15" s="39">
        <v>6.3</v>
      </c>
    </row>
    <row r="16" spans="1:12" ht="24.95" customHeight="1" thickBot="1" x14ac:dyDescent="0.25">
      <c r="A16" s="54"/>
      <c r="B16" s="48"/>
      <c r="C16" s="50"/>
      <c r="D16" s="48"/>
      <c r="E16" s="50"/>
      <c r="F16" s="65"/>
      <c r="G16" s="66"/>
      <c r="H16" s="108"/>
      <c r="I16" s="3">
        <v>1.2</v>
      </c>
      <c r="J16" s="28">
        <v>1.8</v>
      </c>
      <c r="K16" s="40"/>
      <c r="L16" s="40"/>
    </row>
    <row r="17" spans="1:12" ht="24.95" customHeight="1" thickBot="1" x14ac:dyDescent="0.25">
      <c r="A17" s="53">
        <v>0.5</v>
      </c>
      <c r="B17" s="42">
        <v>0.79</v>
      </c>
      <c r="C17" s="44"/>
      <c r="D17" s="42">
        <v>1.47</v>
      </c>
      <c r="E17" s="44"/>
      <c r="F17" s="63"/>
      <c r="G17" s="64"/>
      <c r="H17" s="30"/>
      <c r="I17" s="61"/>
      <c r="J17" s="62"/>
      <c r="K17" s="39"/>
      <c r="L17" s="39"/>
    </row>
    <row r="18" spans="1:12" ht="24.95" customHeight="1" thickBot="1" x14ac:dyDescent="0.25">
      <c r="A18" s="54"/>
      <c r="B18" s="48"/>
      <c r="C18" s="50"/>
      <c r="D18" s="48"/>
      <c r="E18" s="50"/>
      <c r="F18" s="65"/>
      <c r="G18" s="66"/>
      <c r="H18" s="10"/>
      <c r="I18" s="3"/>
      <c r="J18" s="31"/>
      <c r="K18" s="40"/>
      <c r="L18" s="40"/>
    </row>
    <row r="19" spans="1:12" ht="24.95" customHeight="1" thickBot="1" x14ac:dyDescent="0.25">
      <c r="A19" s="53">
        <v>0.58333333333333337</v>
      </c>
      <c r="B19" s="42"/>
      <c r="C19" s="43"/>
      <c r="D19" s="43"/>
      <c r="E19" s="44"/>
      <c r="F19" s="63">
        <v>16.260000000000002</v>
      </c>
      <c r="G19" s="64"/>
      <c r="H19" s="107"/>
      <c r="I19" s="61">
        <v>3.3</v>
      </c>
      <c r="J19" s="62"/>
      <c r="K19" s="39">
        <v>91.8</v>
      </c>
      <c r="L19" s="39">
        <v>4.9000000000000004</v>
      </c>
    </row>
    <row r="20" spans="1:12" ht="24.95" customHeight="1" thickBot="1" x14ac:dyDescent="0.25">
      <c r="A20" s="54"/>
      <c r="B20" s="48"/>
      <c r="C20" s="49"/>
      <c r="D20" s="49"/>
      <c r="E20" s="50"/>
      <c r="F20" s="65"/>
      <c r="G20" s="66"/>
      <c r="H20" s="108"/>
      <c r="I20" s="3">
        <v>1.2</v>
      </c>
      <c r="J20" s="28">
        <v>2.1</v>
      </c>
      <c r="K20" s="40"/>
      <c r="L20" s="40"/>
    </row>
    <row r="21" spans="1:12" ht="50.1" customHeight="1" thickBot="1" x14ac:dyDescent="0.25">
      <c r="A21" s="1">
        <v>0.66666666666666663</v>
      </c>
      <c r="B21" s="41">
        <v>2.1</v>
      </c>
      <c r="C21" s="41"/>
      <c r="D21" s="41">
        <v>6.28</v>
      </c>
      <c r="E21" s="41"/>
      <c r="F21" s="42"/>
      <c r="G21" s="43"/>
      <c r="H21" s="43"/>
      <c r="I21" s="43"/>
      <c r="J21" s="43"/>
      <c r="K21" s="43"/>
      <c r="L21" s="44"/>
    </row>
    <row r="22" spans="1:12" ht="50.1" customHeight="1" thickBot="1" x14ac:dyDescent="0.25">
      <c r="A22" s="1">
        <v>0.83333333333333337</v>
      </c>
      <c r="B22" s="41">
        <v>2.74</v>
      </c>
      <c r="C22" s="41"/>
      <c r="D22" s="41">
        <v>4.3</v>
      </c>
      <c r="E22" s="41"/>
      <c r="F22" s="45"/>
      <c r="G22" s="46"/>
      <c r="H22" s="46"/>
      <c r="I22" s="46"/>
      <c r="J22" s="46"/>
      <c r="K22" s="46"/>
      <c r="L22" s="47"/>
    </row>
    <row r="23" spans="1:12" ht="50.1" customHeight="1" thickBot="1" x14ac:dyDescent="0.25">
      <c r="A23" s="1">
        <v>1</v>
      </c>
      <c r="B23" s="51">
        <v>4.16</v>
      </c>
      <c r="C23" s="52"/>
      <c r="D23" s="51">
        <v>2.09</v>
      </c>
      <c r="E23" s="52"/>
      <c r="F23" s="45"/>
      <c r="G23" s="46"/>
      <c r="H23" s="46"/>
      <c r="I23" s="46"/>
      <c r="J23" s="46"/>
      <c r="K23" s="46"/>
      <c r="L23" s="47"/>
    </row>
    <row r="24" spans="1:12" ht="50.1" customHeight="1" thickBot="1" x14ac:dyDescent="0.25">
      <c r="A24" s="1">
        <v>0.16666666666666666</v>
      </c>
      <c r="B24" s="41">
        <v>5.43</v>
      </c>
      <c r="C24" s="41"/>
      <c r="D24" s="41">
        <v>2.36</v>
      </c>
      <c r="E24" s="41"/>
      <c r="F24" s="48"/>
      <c r="G24" s="49"/>
      <c r="H24" s="49"/>
      <c r="I24" s="49"/>
      <c r="J24" s="49"/>
      <c r="K24" s="49"/>
      <c r="L24" s="50"/>
    </row>
  </sheetData>
  <mergeCells count="68">
    <mergeCell ref="B19:E20"/>
    <mergeCell ref="F19:H20"/>
    <mergeCell ref="I19:J19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  <mergeCell ref="L19:L20"/>
    <mergeCell ref="K17:K18"/>
    <mergeCell ref="L17:L18"/>
    <mergeCell ref="A15:A16"/>
    <mergeCell ref="B15:C16"/>
    <mergeCell ref="D15:E16"/>
    <mergeCell ref="F15:H16"/>
    <mergeCell ref="I15:J15"/>
    <mergeCell ref="K15:K16"/>
    <mergeCell ref="A17:A18"/>
    <mergeCell ref="B17:C18"/>
    <mergeCell ref="D17:E18"/>
    <mergeCell ref="F17:G18"/>
    <mergeCell ref="I17:J17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</mergeCells>
  <conditionalFormatting sqref="D9">
    <cfRule type="cellIs" dxfId="217" priority="25" operator="greaterThan">
      <formula>7</formula>
    </cfRule>
  </conditionalFormatting>
  <conditionalFormatting sqref="F9">
    <cfRule type="cellIs" dxfId="216" priority="24" operator="greaterThan">
      <formula>20</formula>
    </cfRule>
  </conditionalFormatting>
  <conditionalFormatting sqref="H9:J10">
    <cfRule type="cellIs" dxfId="215" priority="23" operator="lessThan">
      <formula>80</formula>
    </cfRule>
  </conditionalFormatting>
  <conditionalFormatting sqref="K9:L10">
    <cfRule type="cellIs" dxfId="214" priority="22" operator="greaterThan">
      <formula>0</formula>
    </cfRule>
  </conditionalFormatting>
  <conditionalFormatting sqref="B24:E24 B23 D23 B22:E22 B21:F21 B15 B19 D13 B13">
    <cfRule type="cellIs" dxfId="213" priority="21" operator="greaterThan">
      <formula>7</formula>
    </cfRule>
  </conditionalFormatting>
  <conditionalFormatting sqref="I15 I13">
    <cfRule type="cellIs" dxfId="212" priority="20" operator="greaterThan">
      <formula>20</formula>
    </cfRule>
  </conditionalFormatting>
  <conditionalFormatting sqref="K15 K13">
    <cfRule type="cellIs" dxfId="211" priority="19" stopIfTrue="1" operator="lessThan">
      <formula>80</formula>
    </cfRule>
  </conditionalFormatting>
  <conditionalFormatting sqref="L15 L13">
    <cfRule type="cellIs" dxfId="210" priority="18" operator="greaterThan">
      <formula>0</formula>
    </cfRule>
  </conditionalFormatting>
  <conditionalFormatting sqref="F15 F19 F13">
    <cfRule type="cellIs" dxfId="209" priority="17" stopIfTrue="1" operator="greaterThan">
      <formula>10</formula>
    </cfRule>
  </conditionalFormatting>
  <conditionalFormatting sqref="K19">
    <cfRule type="cellIs" dxfId="208" priority="16" stopIfTrue="1" operator="lessThan">
      <formula>80</formula>
    </cfRule>
  </conditionalFormatting>
  <conditionalFormatting sqref="I14:J14">
    <cfRule type="cellIs" dxfId="207" priority="15" operator="greaterThan">
      <formula>20</formula>
    </cfRule>
  </conditionalFormatting>
  <conditionalFormatting sqref="J16">
    <cfRule type="cellIs" dxfId="206" priority="14" operator="greaterThan">
      <formula>20</formula>
    </cfRule>
  </conditionalFormatting>
  <conditionalFormatting sqref="I16:I17">
    <cfRule type="cellIs" dxfId="205" priority="13" operator="greaterThan">
      <formula>20</formula>
    </cfRule>
  </conditionalFormatting>
  <conditionalFormatting sqref="I18">
    <cfRule type="cellIs" dxfId="204" priority="12" operator="greaterThan">
      <formula>20</formula>
    </cfRule>
  </conditionalFormatting>
  <conditionalFormatting sqref="I19">
    <cfRule type="cellIs" dxfId="203" priority="11" operator="greaterThan">
      <formula>20</formula>
    </cfRule>
  </conditionalFormatting>
  <conditionalFormatting sqref="I20">
    <cfRule type="cellIs" dxfId="202" priority="10" operator="greaterThan">
      <formula>20</formula>
    </cfRule>
  </conditionalFormatting>
  <conditionalFormatting sqref="J20">
    <cfRule type="cellIs" dxfId="201" priority="9" operator="greaterThan">
      <formula>20</formula>
    </cfRule>
  </conditionalFormatting>
  <conditionalFormatting sqref="D15">
    <cfRule type="cellIs" dxfId="200" priority="8" operator="greaterThan">
      <formula>7</formula>
    </cfRule>
  </conditionalFormatting>
  <conditionalFormatting sqref="D17">
    <cfRule type="cellIs" dxfId="199" priority="7" operator="greaterThan">
      <formula>7</formula>
    </cfRule>
  </conditionalFormatting>
  <conditionalFormatting sqref="B17">
    <cfRule type="cellIs" dxfId="198" priority="6" operator="greaterThan">
      <formula>7</formula>
    </cfRule>
  </conditionalFormatting>
  <conditionalFormatting sqref="L17">
    <cfRule type="cellIs" dxfId="197" priority="4" operator="greaterThan">
      <formula>0</formula>
    </cfRule>
  </conditionalFormatting>
  <conditionalFormatting sqref="L19">
    <cfRule type="cellIs" dxfId="196" priority="3" operator="greaterThan">
      <formula>0</formula>
    </cfRule>
  </conditionalFormatting>
  <conditionalFormatting sqref="F17">
    <cfRule type="cellIs" dxfId="195" priority="2" stopIfTrue="1" operator="greaterThan">
      <formula>10</formula>
    </cfRule>
  </conditionalFormatting>
  <conditionalFormatting sqref="K17">
    <cfRule type="cellIs" dxfId="194" priority="1" operator="greaterThan">
      <formula>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topLeftCell="A5" zoomScale="69" zoomScaleNormal="100" zoomScaleSheetLayoutView="69" zoomScalePageLayoutView="80" workbookViewId="0">
      <selection activeCell="A5" sqref="A5:L5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100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2"/>
    </row>
    <row r="2" spans="1:12" ht="40.5" customHeight="1" x14ac:dyDescent="0.2">
      <c r="A2" s="103" t="s">
        <v>25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5"/>
    </row>
    <row r="3" spans="1:12" ht="40.5" customHeight="1" x14ac:dyDescent="0.2">
      <c r="A3" s="106" t="s">
        <v>24</v>
      </c>
      <c r="B3" s="106"/>
      <c r="C3" s="106" t="s">
        <v>23</v>
      </c>
      <c r="D3" s="106"/>
      <c r="E3" s="106" t="s">
        <v>22</v>
      </c>
      <c r="F3" s="106"/>
      <c r="G3" s="106"/>
      <c r="H3" s="106" t="s">
        <v>21</v>
      </c>
      <c r="I3" s="106"/>
      <c r="J3" s="106"/>
      <c r="K3" s="106" t="s">
        <v>20</v>
      </c>
      <c r="L3" s="106"/>
    </row>
    <row r="4" spans="1:12" ht="40.5" customHeight="1" x14ac:dyDescent="0.2">
      <c r="A4" s="91">
        <v>48527531</v>
      </c>
      <c r="B4" s="91"/>
      <c r="C4" s="91"/>
      <c r="D4" s="91"/>
      <c r="E4" s="91" t="s">
        <v>50</v>
      </c>
      <c r="F4" s="91"/>
      <c r="G4" s="91"/>
      <c r="H4" s="91" t="s">
        <v>19</v>
      </c>
      <c r="I4" s="91"/>
      <c r="J4" s="91"/>
      <c r="K4" s="92" t="s">
        <v>18</v>
      </c>
      <c r="L4" s="92"/>
    </row>
    <row r="5" spans="1:12" ht="40.5" customHeight="1" thickBot="1" x14ac:dyDescent="0.25">
      <c r="A5" s="97" t="s">
        <v>17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67" t="s">
        <v>16</v>
      </c>
      <c r="B7" s="93" t="s">
        <v>15</v>
      </c>
      <c r="C7" s="94"/>
      <c r="D7" s="87" t="s">
        <v>14</v>
      </c>
      <c r="E7" s="87"/>
      <c r="F7" s="89" t="s">
        <v>13</v>
      </c>
      <c r="G7" s="90"/>
      <c r="H7" s="87" t="s">
        <v>12</v>
      </c>
      <c r="I7" s="87"/>
      <c r="J7" s="87"/>
      <c r="K7" s="69" t="s">
        <v>11</v>
      </c>
      <c r="L7" s="70"/>
    </row>
    <row r="8" spans="1:12" ht="24.95" customHeight="1" thickBot="1" x14ac:dyDescent="0.25">
      <c r="A8" s="68"/>
      <c r="B8" s="95"/>
      <c r="C8" s="96"/>
      <c r="D8" s="88"/>
      <c r="E8" s="88"/>
      <c r="F8" s="5" t="s">
        <v>10</v>
      </c>
      <c r="G8" s="5" t="s">
        <v>9</v>
      </c>
      <c r="H8" s="88"/>
      <c r="I8" s="88"/>
      <c r="J8" s="88"/>
      <c r="K8" s="71"/>
      <c r="L8" s="72"/>
    </row>
    <row r="9" spans="1:12" ht="24.95" customHeight="1" thickBot="1" x14ac:dyDescent="0.25">
      <c r="A9" s="73">
        <v>700.3</v>
      </c>
      <c r="B9" s="75">
        <v>28</v>
      </c>
      <c r="C9" s="76"/>
      <c r="D9" s="42">
        <f>AVERAGE(B13:E24)</f>
        <v>4.6016666666666666</v>
      </c>
      <c r="E9" s="44"/>
      <c r="F9" s="61">
        <f>AVERAGE(I13,I15,I17,I19)</f>
        <v>11.4</v>
      </c>
      <c r="G9" s="62"/>
      <c r="H9" s="79">
        <f>AVERAGE(K13,K15,K17,K19)</f>
        <v>88.6</v>
      </c>
      <c r="I9" s="80"/>
      <c r="J9" s="81"/>
      <c r="K9" s="79">
        <f>AVERAGE(L13,L15,L17,L19)</f>
        <v>0</v>
      </c>
      <c r="L9" s="81"/>
    </row>
    <row r="10" spans="1:12" ht="24.95" customHeight="1" thickBot="1" x14ac:dyDescent="0.25">
      <c r="A10" s="74"/>
      <c r="B10" s="77"/>
      <c r="C10" s="78"/>
      <c r="D10" s="48"/>
      <c r="E10" s="50"/>
      <c r="F10" s="3">
        <f>AVERAGE(I14,I16,I18,I20)</f>
        <v>1.8</v>
      </c>
      <c r="G10" s="3">
        <f>AVERAGE(J14,J16,J18,J20)</f>
        <v>9.6</v>
      </c>
      <c r="H10" s="82"/>
      <c r="I10" s="83"/>
      <c r="J10" s="84"/>
      <c r="K10" s="82"/>
      <c r="L10" s="84"/>
    </row>
    <row r="11" spans="1:12" ht="24.95" customHeight="1" thickBot="1" x14ac:dyDescent="0.25">
      <c r="A11" s="67" t="s">
        <v>8</v>
      </c>
      <c r="B11" s="69" t="s">
        <v>7</v>
      </c>
      <c r="C11" s="70"/>
      <c r="D11" s="69" t="s">
        <v>6</v>
      </c>
      <c r="E11" s="70"/>
      <c r="F11" s="69" t="s">
        <v>5</v>
      </c>
      <c r="G11" s="87"/>
      <c r="H11" s="70"/>
      <c r="I11" s="89" t="s">
        <v>4</v>
      </c>
      <c r="J11" s="90"/>
      <c r="K11" s="85" t="s">
        <v>3</v>
      </c>
      <c r="L11" s="70" t="s">
        <v>2</v>
      </c>
    </row>
    <row r="12" spans="1:12" ht="24.95" customHeight="1" thickBot="1" x14ac:dyDescent="0.25">
      <c r="A12" s="68"/>
      <c r="B12" s="71"/>
      <c r="C12" s="72"/>
      <c r="D12" s="71"/>
      <c r="E12" s="72"/>
      <c r="F12" s="71"/>
      <c r="G12" s="88"/>
      <c r="H12" s="72"/>
      <c r="I12" s="5" t="s">
        <v>1</v>
      </c>
      <c r="J12" s="29" t="s">
        <v>0</v>
      </c>
      <c r="K12" s="86"/>
      <c r="L12" s="72"/>
    </row>
    <row r="13" spans="1:12" ht="24.95" customHeight="1" thickBot="1" x14ac:dyDescent="0.25">
      <c r="A13" s="53">
        <v>0.33333333333333331</v>
      </c>
      <c r="B13" s="42">
        <v>6.56</v>
      </c>
      <c r="C13" s="44"/>
      <c r="D13" s="42">
        <v>6.17</v>
      </c>
      <c r="E13" s="44"/>
      <c r="F13" s="63">
        <v>9.5299999999999994</v>
      </c>
      <c r="G13" s="64"/>
      <c r="H13" s="107"/>
      <c r="I13" s="61">
        <v>11.4</v>
      </c>
      <c r="J13" s="62"/>
      <c r="K13" s="39">
        <v>88.6</v>
      </c>
      <c r="L13" s="39">
        <v>0</v>
      </c>
    </row>
    <row r="14" spans="1:12" ht="24.95" customHeight="1" thickBot="1" x14ac:dyDescent="0.25">
      <c r="A14" s="54"/>
      <c r="B14" s="48"/>
      <c r="C14" s="50"/>
      <c r="D14" s="48"/>
      <c r="E14" s="50"/>
      <c r="F14" s="65"/>
      <c r="G14" s="66"/>
      <c r="H14" s="108"/>
      <c r="I14" s="3">
        <v>1.8</v>
      </c>
      <c r="J14" s="28">
        <v>9.6</v>
      </c>
      <c r="K14" s="40"/>
      <c r="L14" s="40"/>
    </row>
    <row r="15" spans="1:12" ht="24.95" customHeight="1" thickBot="1" x14ac:dyDescent="0.25">
      <c r="A15" s="53">
        <v>0.41666666666666669</v>
      </c>
      <c r="B15" s="42"/>
      <c r="C15" s="44"/>
      <c r="D15" s="42"/>
      <c r="E15" s="44"/>
      <c r="F15" s="63"/>
      <c r="G15" s="64"/>
      <c r="H15" s="107"/>
      <c r="I15" s="61"/>
      <c r="J15" s="62"/>
      <c r="K15" s="39"/>
      <c r="L15" s="39"/>
    </row>
    <row r="16" spans="1:12" ht="24.95" customHeight="1" thickBot="1" x14ac:dyDescent="0.25">
      <c r="A16" s="54"/>
      <c r="B16" s="48"/>
      <c r="C16" s="50"/>
      <c r="D16" s="48"/>
      <c r="E16" s="50"/>
      <c r="F16" s="65"/>
      <c r="G16" s="66"/>
      <c r="H16" s="108"/>
      <c r="I16" s="3"/>
      <c r="J16" s="28"/>
      <c r="K16" s="40"/>
      <c r="L16" s="40"/>
    </row>
    <row r="17" spans="1:12" ht="24.95" customHeight="1" thickBot="1" x14ac:dyDescent="0.25">
      <c r="A17" s="53">
        <v>0.5</v>
      </c>
      <c r="B17" s="42">
        <v>3.11</v>
      </c>
      <c r="C17" s="44"/>
      <c r="D17" s="42">
        <v>5.54</v>
      </c>
      <c r="E17" s="44"/>
      <c r="F17" s="63"/>
      <c r="G17" s="64"/>
      <c r="H17" s="30"/>
      <c r="I17" s="61"/>
      <c r="J17" s="62"/>
      <c r="K17" s="39"/>
      <c r="L17" s="39"/>
    </row>
    <row r="18" spans="1:12" ht="24.95" customHeight="1" thickBot="1" x14ac:dyDescent="0.25">
      <c r="A18" s="54"/>
      <c r="B18" s="48"/>
      <c r="C18" s="50"/>
      <c r="D18" s="48"/>
      <c r="E18" s="50"/>
      <c r="F18" s="65"/>
      <c r="G18" s="66"/>
      <c r="H18" s="10"/>
      <c r="I18" s="3"/>
      <c r="J18" s="31"/>
      <c r="K18" s="40"/>
      <c r="L18" s="40"/>
    </row>
    <row r="19" spans="1:12" ht="24.95" customHeight="1" thickBot="1" x14ac:dyDescent="0.25">
      <c r="A19" s="53">
        <v>0.58333333333333337</v>
      </c>
      <c r="B19" s="42"/>
      <c r="C19" s="43"/>
      <c r="D19" s="43"/>
      <c r="E19" s="44"/>
      <c r="F19" s="63"/>
      <c r="G19" s="64"/>
      <c r="H19" s="107"/>
      <c r="I19" s="61"/>
      <c r="J19" s="62"/>
      <c r="K19" s="39"/>
      <c r="L19" s="39"/>
    </row>
    <row r="20" spans="1:12" ht="24.95" customHeight="1" thickBot="1" x14ac:dyDescent="0.25">
      <c r="A20" s="54"/>
      <c r="B20" s="48"/>
      <c r="C20" s="49"/>
      <c r="D20" s="49"/>
      <c r="E20" s="50"/>
      <c r="F20" s="65"/>
      <c r="G20" s="66"/>
      <c r="H20" s="108"/>
      <c r="I20" s="3"/>
      <c r="J20" s="28"/>
      <c r="K20" s="40"/>
      <c r="L20" s="40"/>
    </row>
    <row r="21" spans="1:12" ht="50.1" customHeight="1" thickBot="1" x14ac:dyDescent="0.25">
      <c r="A21" s="1">
        <v>0.66666666666666663</v>
      </c>
      <c r="B21" s="41">
        <v>5.51</v>
      </c>
      <c r="C21" s="41"/>
      <c r="D21" s="41">
        <v>5.65</v>
      </c>
      <c r="E21" s="41"/>
      <c r="F21" s="42"/>
      <c r="G21" s="43"/>
      <c r="H21" s="43"/>
      <c r="I21" s="43"/>
      <c r="J21" s="43"/>
      <c r="K21" s="43"/>
      <c r="L21" s="44"/>
    </row>
    <row r="22" spans="1:12" ht="50.1" customHeight="1" thickBot="1" x14ac:dyDescent="0.25">
      <c r="A22" s="1">
        <v>0.83333333333333337</v>
      </c>
      <c r="B22" s="41">
        <v>4.12</v>
      </c>
      <c r="C22" s="41"/>
      <c r="D22" s="41">
        <v>0.96</v>
      </c>
      <c r="E22" s="41"/>
      <c r="F22" s="45"/>
      <c r="G22" s="46"/>
      <c r="H22" s="46"/>
      <c r="I22" s="46"/>
      <c r="J22" s="46"/>
      <c r="K22" s="46"/>
      <c r="L22" s="47"/>
    </row>
    <row r="23" spans="1:12" ht="50.1" customHeight="1" thickBot="1" x14ac:dyDescent="0.25">
      <c r="A23" s="1">
        <v>1</v>
      </c>
      <c r="B23" s="51">
        <v>3.84</v>
      </c>
      <c r="C23" s="52"/>
      <c r="D23" s="51">
        <v>5.32</v>
      </c>
      <c r="E23" s="52"/>
      <c r="F23" s="45"/>
      <c r="G23" s="46"/>
      <c r="H23" s="46"/>
      <c r="I23" s="46"/>
      <c r="J23" s="46"/>
      <c r="K23" s="46"/>
      <c r="L23" s="47"/>
    </row>
    <row r="24" spans="1:12" ht="50.1" customHeight="1" thickBot="1" x14ac:dyDescent="0.25">
      <c r="A24" s="1">
        <v>0.16666666666666666</v>
      </c>
      <c r="B24" s="41">
        <v>5.91</v>
      </c>
      <c r="C24" s="41"/>
      <c r="D24" s="41">
        <v>2.5299999999999998</v>
      </c>
      <c r="E24" s="41"/>
      <c r="F24" s="48"/>
      <c r="G24" s="49"/>
      <c r="H24" s="49"/>
      <c r="I24" s="49"/>
      <c r="J24" s="49"/>
      <c r="K24" s="49"/>
      <c r="L24" s="50"/>
    </row>
  </sheetData>
  <mergeCells count="68">
    <mergeCell ref="B19:E20"/>
    <mergeCell ref="F19:H20"/>
    <mergeCell ref="I19:J19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  <mergeCell ref="L19:L20"/>
    <mergeCell ref="K17:K18"/>
    <mergeCell ref="L17:L18"/>
    <mergeCell ref="A15:A16"/>
    <mergeCell ref="B15:C16"/>
    <mergeCell ref="D15:E16"/>
    <mergeCell ref="F15:H16"/>
    <mergeCell ref="I15:J15"/>
    <mergeCell ref="K15:K16"/>
    <mergeCell ref="A17:A18"/>
    <mergeCell ref="B17:C18"/>
    <mergeCell ref="D17:E18"/>
    <mergeCell ref="F17:G18"/>
    <mergeCell ref="I17:J17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</mergeCells>
  <conditionalFormatting sqref="D9">
    <cfRule type="cellIs" dxfId="193" priority="24" operator="greaterThan">
      <formula>7</formula>
    </cfRule>
  </conditionalFormatting>
  <conditionalFormatting sqref="F9">
    <cfRule type="cellIs" dxfId="192" priority="23" operator="greaterThan">
      <formula>20</formula>
    </cfRule>
  </conditionalFormatting>
  <conditionalFormatting sqref="H9:J10">
    <cfRule type="cellIs" dxfId="191" priority="22" operator="lessThan">
      <formula>80</formula>
    </cfRule>
  </conditionalFormatting>
  <conditionalFormatting sqref="K9:L10">
    <cfRule type="cellIs" dxfId="190" priority="21" operator="greaterThan">
      <formula>0</formula>
    </cfRule>
  </conditionalFormatting>
  <conditionalFormatting sqref="B24:E24 B23 D23 B22:E22 B21:F21 B15 B19 D13 B13">
    <cfRule type="cellIs" dxfId="189" priority="20" operator="greaterThan">
      <formula>7</formula>
    </cfRule>
  </conditionalFormatting>
  <conditionalFormatting sqref="I15 I13">
    <cfRule type="cellIs" dxfId="188" priority="19" operator="greaterThan">
      <formula>20</formula>
    </cfRule>
  </conditionalFormatting>
  <conditionalFormatting sqref="K15 K13">
    <cfRule type="cellIs" dxfId="187" priority="18" stopIfTrue="1" operator="lessThan">
      <formula>80</formula>
    </cfRule>
  </conditionalFormatting>
  <conditionalFormatting sqref="L15 L13">
    <cfRule type="cellIs" dxfId="186" priority="17" operator="greaterThan">
      <formula>0</formula>
    </cfRule>
  </conditionalFormatting>
  <conditionalFormatting sqref="F15 F19 F13">
    <cfRule type="cellIs" dxfId="185" priority="16" stopIfTrue="1" operator="greaterThan">
      <formula>10</formula>
    </cfRule>
  </conditionalFormatting>
  <conditionalFormatting sqref="K19">
    <cfRule type="cellIs" dxfId="184" priority="15" stopIfTrue="1" operator="lessThan">
      <formula>80</formula>
    </cfRule>
  </conditionalFormatting>
  <conditionalFormatting sqref="I14:J14">
    <cfRule type="cellIs" dxfId="183" priority="14" operator="greaterThan">
      <formula>20</formula>
    </cfRule>
  </conditionalFormatting>
  <conditionalFormatting sqref="J16">
    <cfRule type="cellIs" dxfId="182" priority="13" operator="greaterThan">
      <formula>20</formula>
    </cfRule>
  </conditionalFormatting>
  <conditionalFormatting sqref="I16:I17">
    <cfRule type="cellIs" dxfId="181" priority="12" operator="greaterThan">
      <formula>20</formula>
    </cfRule>
  </conditionalFormatting>
  <conditionalFormatting sqref="I18">
    <cfRule type="cellIs" dxfId="180" priority="11" operator="greaterThan">
      <formula>20</formula>
    </cfRule>
  </conditionalFormatting>
  <conditionalFormatting sqref="I19">
    <cfRule type="cellIs" dxfId="179" priority="10" operator="greaterThan">
      <formula>20</formula>
    </cfRule>
  </conditionalFormatting>
  <conditionalFormatting sqref="I20">
    <cfRule type="cellIs" dxfId="178" priority="9" operator="greaterThan">
      <formula>20</formula>
    </cfRule>
  </conditionalFormatting>
  <conditionalFormatting sqref="J20">
    <cfRule type="cellIs" dxfId="177" priority="8" operator="greaterThan">
      <formula>20</formula>
    </cfRule>
  </conditionalFormatting>
  <conditionalFormatting sqref="D15">
    <cfRule type="cellIs" dxfId="176" priority="7" operator="greaterThan">
      <formula>7</formula>
    </cfRule>
  </conditionalFormatting>
  <conditionalFormatting sqref="D17">
    <cfRule type="cellIs" dxfId="175" priority="6" operator="greaterThan">
      <formula>7</formula>
    </cfRule>
  </conditionalFormatting>
  <conditionalFormatting sqref="B17">
    <cfRule type="cellIs" dxfId="174" priority="5" operator="greaterThan">
      <formula>7</formula>
    </cfRule>
  </conditionalFormatting>
  <conditionalFormatting sqref="K17">
    <cfRule type="cellIs" dxfId="173" priority="4" stopIfTrue="1" operator="lessThan">
      <formula>80</formula>
    </cfRule>
  </conditionalFormatting>
  <conditionalFormatting sqref="L17">
    <cfRule type="cellIs" dxfId="172" priority="3" operator="greaterThan">
      <formula>0</formula>
    </cfRule>
  </conditionalFormatting>
  <conditionalFormatting sqref="L19">
    <cfRule type="cellIs" dxfId="171" priority="2" operator="greaterThan">
      <formula>0</formula>
    </cfRule>
  </conditionalFormatting>
  <conditionalFormatting sqref="F17">
    <cfRule type="cellIs" dxfId="170" priority="1" stopIfTrue="1" operator="greaterThan">
      <formula>10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topLeftCell="A5" zoomScale="78" zoomScaleNormal="100" zoomScaleSheetLayoutView="78" zoomScalePageLayoutView="80" workbookViewId="0">
      <selection activeCell="D24" sqref="D24:E24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100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2"/>
    </row>
    <row r="2" spans="1:12" ht="40.5" customHeight="1" x14ac:dyDescent="0.2">
      <c r="A2" s="103" t="s">
        <v>25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5"/>
    </row>
    <row r="3" spans="1:12" ht="40.5" customHeight="1" x14ac:dyDescent="0.2">
      <c r="A3" s="106" t="s">
        <v>24</v>
      </c>
      <c r="B3" s="106"/>
      <c r="C3" s="106" t="s">
        <v>23</v>
      </c>
      <c r="D3" s="106"/>
      <c r="E3" s="106" t="s">
        <v>22</v>
      </c>
      <c r="F3" s="106"/>
      <c r="G3" s="106"/>
      <c r="H3" s="106" t="s">
        <v>21</v>
      </c>
      <c r="I3" s="106"/>
      <c r="J3" s="106"/>
      <c r="K3" s="106" t="s">
        <v>20</v>
      </c>
      <c r="L3" s="106"/>
    </row>
    <row r="4" spans="1:12" ht="40.5" customHeight="1" x14ac:dyDescent="0.2">
      <c r="A4" s="91">
        <v>48527531</v>
      </c>
      <c r="B4" s="91"/>
      <c r="C4" s="91"/>
      <c r="D4" s="91"/>
      <c r="E4" s="91" t="s">
        <v>51</v>
      </c>
      <c r="F4" s="91"/>
      <c r="G4" s="91"/>
      <c r="H4" s="91" t="s">
        <v>19</v>
      </c>
      <c r="I4" s="91"/>
      <c r="J4" s="91"/>
      <c r="K4" s="92" t="s">
        <v>18</v>
      </c>
      <c r="L4" s="92"/>
    </row>
    <row r="5" spans="1:12" ht="40.5" customHeight="1" thickBot="1" x14ac:dyDescent="0.25">
      <c r="A5" s="97" t="s">
        <v>17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67" t="s">
        <v>16</v>
      </c>
      <c r="B7" s="93" t="s">
        <v>15</v>
      </c>
      <c r="C7" s="94"/>
      <c r="D7" s="87" t="s">
        <v>14</v>
      </c>
      <c r="E7" s="87"/>
      <c r="F7" s="89" t="s">
        <v>13</v>
      </c>
      <c r="G7" s="90"/>
      <c r="H7" s="87" t="s">
        <v>12</v>
      </c>
      <c r="I7" s="87"/>
      <c r="J7" s="87"/>
      <c r="K7" s="69" t="s">
        <v>11</v>
      </c>
      <c r="L7" s="70"/>
    </row>
    <row r="8" spans="1:12" ht="24.95" customHeight="1" thickBot="1" x14ac:dyDescent="0.25">
      <c r="A8" s="68"/>
      <c r="B8" s="95"/>
      <c r="C8" s="96"/>
      <c r="D8" s="88"/>
      <c r="E8" s="88"/>
      <c r="F8" s="5" t="s">
        <v>10</v>
      </c>
      <c r="G8" s="5" t="s">
        <v>9</v>
      </c>
      <c r="H8" s="88"/>
      <c r="I8" s="88"/>
      <c r="J8" s="88"/>
      <c r="K8" s="71"/>
      <c r="L8" s="72"/>
    </row>
    <row r="9" spans="1:12" ht="24.95" customHeight="1" thickBot="1" x14ac:dyDescent="0.25">
      <c r="A9" s="73">
        <v>0</v>
      </c>
      <c r="B9" s="75">
        <v>0</v>
      </c>
      <c r="C9" s="76"/>
      <c r="D9" s="42">
        <f>AVERAGE(B13:E24)</f>
        <v>4.642500000000001</v>
      </c>
      <c r="E9" s="44"/>
      <c r="F9" s="61">
        <f>AVERAGE(I13,I15,I17,I19)</f>
        <v>5.0999999999999996</v>
      </c>
      <c r="G9" s="62"/>
      <c r="H9" s="79">
        <f>AVERAGE(K13,K15,K17,K19)</f>
        <v>94.9</v>
      </c>
      <c r="I9" s="80"/>
      <c r="J9" s="81"/>
      <c r="K9" s="79">
        <f>AVERAGE(L13,L15,L17,L19)</f>
        <v>0</v>
      </c>
      <c r="L9" s="81"/>
    </row>
    <row r="10" spans="1:12" ht="24.95" customHeight="1" thickBot="1" x14ac:dyDescent="0.25">
      <c r="A10" s="74"/>
      <c r="B10" s="77"/>
      <c r="C10" s="78"/>
      <c r="D10" s="48"/>
      <c r="E10" s="50"/>
      <c r="F10" s="3">
        <f>AVERAGE(I14,I16,I18,I20)</f>
        <v>3.1</v>
      </c>
      <c r="G10" s="3">
        <f>AVERAGE(J14,J16,J18,J20)</f>
        <v>2</v>
      </c>
      <c r="H10" s="82"/>
      <c r="I10" s="83"/>
      <c r="J10" s="84"/>
      <c r="K10" s="82"/>
      <c r="L10" s="84"/>
    </row>
    <row r="11" spans="1:12" ht="24.95" customHeight="1" thickBot="1" x14ac:dyDescent="0.25">
      <c r="A11" s="67" t="s">
        <v>8</v>
      </c>
      <c r="B11" s="69" t="s">
        <v>7</v>
      </c>
      <c r="C11" s="70"/>
      <c r="D11" s="69" t="s">
        <v>6</v>
      </c>
      <c r="E11" s="70"/>
      <c r="F11" s="69" t="s">
        <v>5</v>
      </c>
      <c r="G11" s="87"/>
      <c r="H11" s="70"/>
      <c r="I11" s="89" t="s">
        <v>4</v>
      </c>
      <c r="J11" s="90"/>
      <c r="K11" s="85" t="s">
        <v>3</v>
      </c>
      <c r="L11" s="70" t="s">
        <v>2</v>
      </c>
    </row>
    <row r="12" spans="1:12" ht="24.95" customHeight="1" thickBot="1" x14ac:dyDescent="0.25">
      <c r="A12" s="68"/>
      <c r="B12" s="71"/>
      <c r="C12" s="72"/>
      <c r="D12" s="71"/>
      <c r="E12" s="72"/>
      <c r="F12" s="71"/>
      <c r="G12" s="88"/>
      <c r="H12" s="72"/>
      <c r="I12" s="5" t="s">
        <v>1</v>
      </c>
      <c r="J12" s="29" t="s">
        <v>0</v>
      </c>
      <c r="K12" s="86"/>
      <c r="L12" s="72"/>
    </row>
    <row r="13" spans="1:12" ht="24.95" customHeight="1" thickBot="1" x14ac:dyDescent="0.25">
      <c r="A13" s="53">
        <v>0.33333333333333331</v>
      </c>
      <c r="B13" s="42">
        <v>6.22</v>
      </c>
      <c r="C13" s="44"/>
      <c r="D13" s="42">
        <v>4.4000000000000004</v>
      </c>
      <c r="E13" s="44"/>
      <c r="F13" s="63">
        <v>4.9400000000000004</v>
      </c>
      <c r="G13" s="64"/>
      <c r="H13" s="107"/>
      <c r="I13" s="61">
        <v>5.0999999999999996</v>
      </c>
      <c r="J13" s="62"/>
      <c r="K13" s="39">
        <v>94.9</v>
      </c>
      <c r="L13" s="39">
        <v>0</v>
      </c>
    </row>
    <row r="14" spans="1:12" ht="24.95" customHeight="1" thickBot="1" x14ac:dyDescent="0.25">
      <c r="A14" s="54"/>
      <c r="B14" s="48"/>
      <c r="C14" s="50"/>
      <c r="D14" s="48"/>
      <c r="E14" s="50"/>
      <c r="F14" s="65"/>
      <c r="G14" s="66"/>
      <c r="H14" s="108"/>
      <c r="I14" s="3">
        <v>3.1</v>
      </c>
      <c r="J14" s="28">
        <v>2</v>
      </c>
      <c r="K14" s="40"/>
      <c r="L14" s="40"/>
    </row>
    <row r="15" spans="1:12" ht="24.95" customHeight="1" thickBot="1" x14ac:dyDescent="0.25">
      <c r="A15" s="53">
        <v>0.41666666666666669</v>
      </c>
      <c r="B15" s="42"/>
      <c r="C15" s="44"/>
      <c r="D15" s="42"/>
      <c r="E15" s="44"/>
      <c r="F15" s="63"/>
      <c r="G15" s="64"/>
      <c r="H15" s="107"/>
      <c r="I15" s="61"/>
      <c r="J15" s="62"/>
      <c r="K15" s="39"/>
      <c r="L15" s="39"/>
    </row>
    <row r="16" spans="1:12" ht="24.95" customHeight="1" thickBot="1" x14ac:dyDescent="0.25">
      <c r="A16" s="54"/>
      <c r="B16" s="48"/>
      <c r="C16" s="50"/>
      <c r="D16" s="48"/>
      <c r="E16" s="50"/>
      <c r="F16" s="65"/>
      <c r="G16" s="66"/>
      <c r="H16" s="108"/>
      <c r="I16" s="3"/>
      <c r="J16" s="28"/>
      <c r="K16" s="40"/>
      <c r="L16" s="40"/>
    </row>
    <row r="17" spans="1:12" ht="24.95" customHeight="1" thickBot="1" x14ac:dyDescent="0.25">
      <c r="A17" s="53">
        <v>0.5</v>
      </c>
      <c r="B17" s="42">
        <v>3.44</v>
      </c>
      <c r="C17" s="44"/>
      <c r="D17" s="42">
        <v>5.17</v>
      </c>
      <c r="E17" s="44"/>
      <c r="F17" s="63"/>
      <c r="G17" s="64"/>
      <c r="H17" s="30"/>
      <c r="I17" s="61"/>
      <c r="J17" s="62"/>
      <c r="K17" s="39"/>
      <c r="L17" s="39"/>
    </row>
    <row r="18" spans="1:12" ht="24.95" customHeight="1" thickBot="1" x14ac:dyDescent="0.25">
      <c r="A18" s="54"/>
      <c r="B18" s="48"/>
      <c r="C18" s="50"/>
      <c r="D18" s="48"/>
      <c r="E18" s="50"/>
      <c r="F18" s="65"/>
      <c r="G18" s="66"/>
      <c r="H18" s="10"/>
      <c r="I18" s="3"/>
      <c r="J18" s="31"/>
      <c r="K18" s="40"/>
      <c r="L18" s="40"/>
    </row>
    <row r="19" spans="1:12" ht="24.95" customHeight="1" thickBot="1" x14ac:dyDescent="0.25">
      <c r="A19" s="53">
        <v>0.58333333333333337</v>
      </c>
      <c r="B19" s="42"/>
      <c r="C19" s="43"/>
      <c r="D19" s="43"/>
      <c r="E19" s="44"/>
      <c r="F19" s="63"/>
      <c r="G19" s="64"/>
      <c r="H19" s="107"/>
      <c r="I19" s="61"/>
      <c r="J19" s="62"/>
      <c r="K19" s="39"/>
      <c r="L19" s="39"/>
    </row>
    <row r="20" spans="1:12" ht="24.95" customHeight="1" thickBot="1" x14ac:dyDescent="0.25">
      <c r="A20" s="54"/>
      <c r="B20" s="48"/>
      <c r="C20" s="49"/>
      <c r="D20" s="49"/>
      <c r="E20" s="50"/>
      <c r="F20" s="65"/>
      <c r="G20" s="66"/>
      <c r="H20" s="108"/>
      <c r="I20" s="3"/>
      <c r="J20" s="28"/>
      <c r="K20" s="40"/>
      <c r="L20" s="40"/>
    </row>
    <row r="21" spans="1:12" ht="50.1" customHeight="1" thickBot="1" x14ac:dyDescent="0.25">
      <c r="A21" s="1">
        <v>0.66666666666666663</v>
      </c>
      <c r="B21" s="41">
        <v>7.08</v>
      </c>
      <c r="C21" s="41"/>
      <c r="D21" s="41">
        <v>7.38</v>
      </c>
      <c r="E21" s="41"/>
      <c r="F21" s="42"/>
      <c r="G21" s="43"/>
      <c r="H21" s="43"/>
      <c r="I21" s="43"/>
      <c r="J21" s="43"/>
      <c r="K21" s="43"/>
      <c r="L21" s="44"/>
    </row>
    <row r="22" spans="1:12" ht="50.1" customHeight="1" thickBot="1" x14ac:dyDescent="0.25">
      <c r="A22" s="1">
        <v>0.83333333333333337</v>
      </c>
      <c r="B22" s="41">
        <v>3.36</v>
      </c>
      <c r="C22" s="41"/>
      <c r="D22" s="41">
        <v>3.38</v>
      </c>
      <c r="E22" s="41"/>
      <c r="F22" s="45"/>
      <c r="G22" s="46"/>
      <c r="H22" s="46"/>
      <c r="I22" s="46"/>
      <c r="J22" s="46"/>
      <c r="K22" s="46"/>
      <c r="L22" s="47"/>
    </row>
    <row r="23" spans="1:12" ht="50.1" customHeight="1" thickBot="1" x14ac:dyDescent="0.25">
      <c r="A23" s="1">
        <v>1</v>
      </c>
      <c r="B23" s="51">
        <v>3.06</v>
      </c>
      <c r="C23" s="52"/>
      <c r="D23" s="51">
        <v>4.9400000000000004</v>
      </c>
      <c r="E23" s="52"/>
      <c r="F23" s="45"/>
      <c r="G23" s="46"/>
      <c r="H23" s="46"/>
      <c r="I23" s="46"/>
      <c r="J23" s="46"/>
      <c r="K23" s="46"/>
      <c r="L23" s="47"/>
    </row>
    <row r="24" spans="1:12" ht="50.1" customHeight="1" thickBot="1" x14ac:dyDescent="0.25">
      <c r="A24" s="1">
        <v>0.16666666666666666</v>
      </c>
      <c r="B24" s="41">
        <v>2.42</v>
      </c>
      <c r="C24" s="41"/>
      <c r="D24" s="41">
        <v>4.8600000000000003</v>
      </c>
      <c r="E24" s="41"/>
      <c r="F24" s="48"/>
      <c r="G24" s="49"/>
      <c r="H24" s="49"/>
      <c r="I24" s="49"/>
      <c r="J24" s="49"/>
      <c r="K24" s="49"/>
      <c r="L24" s="50"/>
    </row>
  </sheetData>
  <mergeCells count="68">
    <mergeCell ref="B19:E20"/>
    <mergeCell ref="F19:H20"/>
    <mergeCell ref="I19:J19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  <mergeCell ref="L19:L20"/>
    <mergeCell ref="K17:K18"/>
    <mergeCell ref="L17:L18"/>
    <mergeCell ref="A15:A16"/>
    <mergeCell ref="B15:C16"/>
    <mergeCell ref="D15:E16"/>
    <mergeCell ref="F15:H16"/>
    <mergeCell ref="I15:J15"/>
    <mergeCell ref="K15:K16"/>
    <mergeCell ref="A17:A18"/>
    <mergeCell ref="B17:C18"/>
    <mergeCell ref="D17:E18"/>
    <mergeCell ref="F17:G18"/>
    <mergeCell ref="I17:J17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</mergeCells>
  <conditionalFormatting sqref="D9">
    <cfRule type="cellIs" dxfId="169" priority="24" operator="greaterThan">
      <formula>7</formula>
    </cfRule>
  </conditionalFormatting>
  <conditionalFormatting sqref="F9">
    <cfRule type="cellIs" dxfId="168" priority="23" operator="greaterThan">
      <formula>20</formula>
    </cfRule>
  </conditionalFormatting>
  <conditionalFormatting sqref="H9:J10">
    <cfRule type="cellIs" dxfId="167" priority="22" operator="lessThan">
      <formula>80</formula>
    </cfRule>
  </conditionalFormatting>
  <conditionalFormatting sqref="K9:L10">
    <cfRule type="cellIs" dxfId="166" priority="21" operator="greaterThan">
      <formula>0</formula>
    </cfRule>
  </conditionalFormatting>
  <conditionalFormatting sqref="B24:E24 B23 D23 B22:E22 B21:F21 B15 B19 D13 B13">
    <cfRule type="cellIs" dxfId="165" priority="20" operator="greaterThan">
      <formula>7</formula>
    </cfRule>
  </conditionalFormatting>
  <conditionalFormatting sqref="I15 I13">
    <cfRule type="cellIs" dxfId="164" priority="19" operator="greaterThan">
      <formula>20</formula>
    </cfRule>
  </conditionalFormatting>
  <conditionalFormatting sqref="K15 K13">
    <cfRule type="cellIs" dxfId="163" priority="18" stopIfTrue="1" operator="lessThan">
      <formula>80</formula>
    </cfRule>
  </conditionalFormatting>
  <conditionalFormatting sqref="L15 L13">
    <cfRule type="cellIs" dxfId="162" priority="17" operator="greaterThan">
      <formula>0</formula>
    </cfRule>
  </conditionalFormatting>
  <conditionalFormatting sqref="F15 F19 F13">
    <cfRule type="cellIs" dxfId="161" priority="16" stopIfTrue="1" operator="greaterThan">
      <formula>10</formula>
    </cfRule>
  </conditionalFormatting>
  <conditionalFormatting sqref="K19">
    <cfRule type="cellIs" dxfId="160" priority="15" stopIfTrue="1" operator="lessThan">
      <formula>80</formula>
    </cfRule>
  </conditionalFormatting>
  <conditionalFormatting sqref="I14:J14">
    <cfRule type="cellIs" dxfId="159" priority="14" operator="greaterThan">
      <formula>20</formula>
    </cfRule>
  </conditionalFormatting>
  <conditionalFormatting sqref="J16">
    <cfRule type="cellIs" dxfId="158" priority="13" operator="greaterThan">
      <formula>20</formula>
    </cfRule>
  </conditionalFormatting>
  <conditionalFormatting sqref="I16:I17">
    <cfRule type="cellIs" dxfId="157" priority="12" operator="greaterThan">
      <formula>20</formula>
    </cfRule>
  </conditionalFormatting>
  <conditionalFormatting sqref="I18">
    <cfRule type="cellIs" dxfId="156" priority="11" operator="greaterThan">
      <formula>20</formula>
    </cfRule>
  </conditionalFormatting>
  <conditionalFormatting sqref="I19">
    <cfRule type="cellIs" dxfId="155" priority="10" operator="greaterThan">
      <formula>20</formula>
    </cfRule>
  </conditionalFormatting>
  <conditionalFormatting sqref="I20">
    <cfRule type="cellIs" dxfId="154" priority="9" operator="greaterThan">
      <formula>20</formula>
    </cfRule>
  </conditionalFormatting>
  <conditionalFormatting sqref="J20">
    <cfRule type="cellIs" dxfId="153" priority="8" operator="greaterThan">
      <formula>20</formula>
    </cfRule>
  </conditionalFormatting>
  <conditionalFormatting sqref="D15">
    <cfRule type="cellIs" dxfId="152" priority="7" operator="greaterThan">
      <formula>7</formula>
    </cfRule>
  </conditionalFormatting>
  <conditionalFormatting sqref="D17">
    <cfRule type="cellIs" dxfId="151" priority="6" operator="greaterThan">
      <formula>7</formula>
    </cfRule>
  </conditionalFormatting>
  <conditionalFormatting sqref="B17">
    <cfRule type="cellIs" dxfId="150" priority="5" operator="greaterThan">
      <formula>7</formula>
    </cfRule>
  </conditionalFormatting>
  <conditionalFormatting sqref="K17">
    <cfRule type="cellIs" dxfId="149" priority="4" stopIfTrue="1" operator="lessThan">
      <formula>80</formula>
    </cfRule>
  </conditionalFormatting>
  <conditionalFormatting sqref="L17">
    <cfRule type="cellIs" dxfId="148" priority="3" operator="greaterThan">
      <formula>0</formula>
    </cfRule>
  </conditionalFormatting>
  <conditionalFormatting sqref="L19">
    <cfRule type="cellIs" dxfId="147" priority="2" operator="greaterThan">
      <formula>0</formula>
    </cfRule>
  </conditionalFormatting>
  <conditionalFormatting sqref="F17">
    <cfRule type="cellIs" dxfId="146" priority="1" stopIfTrue="1" operator="greaterThan">
      <formula>10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view="pageBreakPreview" topLeftCell="A13" zoomScale="55" zoomScaleNormal="100" zoomScaleSheetLayoutView="55" zoomScalePageLayoutView="80" workbookViewId="0">
      <selection activeCell="A25" sqref="A25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100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2"/>
    </row>
    <row r="2" spans="1:12" ht="40.5" customHeight="1" x14ac:dyDescent="0.2">
      <c r="A2" s="103" t="s">
        <v>25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5"/>
    </row>
    <row r="3" spans="1:12" ht="40.5" customHeight="1" x14ac:dyDescent="0.2">
      <c r="A3" s="106" t="s">
        <v>24</v>
      </c>
      <c r="B3" s="106"/>
      <c r="C3" s="106" t="s">
        <v>23</v>
      </c>
      <c r="D3" s="106"/>
      <c r="E3" s="106" t="s">
        <v>22</v>
      </c>
      <c r="F3" s="106"/>
      <c r="G3" s="106"/>
      <c r="H3" s="106" t="s">
        <v>21</v>
      </c>
      <c r="I3" s="106"/>
      <c r="J3" s="106"/>
      <c r="K3" s="106" t="s">
        <v>20</v>
      </c>
      <c r="L3" s="106"/>
    </row>
    <row r="4" spans="1:12" ht="40.5" customHeight="1" x14ac:dyDescent="0.2">
      <c r="A4" s="91">
        <v>48527531</v>
      </c>
      <c r="B4" s="91"/>
      <c r="C4" s="91"/>
      <c r="D4" s="91"/>
      <c r="E4" s="91" t="s">
        <v>52</v>
      </c>
      <c r="F4" s="91"/>
      <c r="G4" s="91"/>
      <c r="H4" s="91" t="s">
        <v>19</v>
      </c>
      <c r="I4" s="91"/>
      <c r="J4" s="91"/>
      <c r="K4" s="92" t="s">
        <v>18</v>
      </c>
      <c r="L4" s="92"/>
    </row>
    <row r="5" spans="1:12" ht="40.5" customHeight="1" thickBot="1" x14ac:dyDescent="0.25">
      <c r="A5" s="97" t="s">
        <v>17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67" t="s">
        <v>16</v>
      </c>
      <c r="B7" s="93" t="s">
        <v>15</v>
      </c>
      <c r="C7" s="94"/>
      <c r="D7" s="87" t="s">
        <v>14</v>
      </c>
      <c r="E7" s="87"/>
      <c r="F7" s="89" t="s">
        <v>13</v>
      </c>
      <c r="G7" s="90"/>
      <c r="H7" s="87" t="s">
        <v>12</v>
      </c>
      <c r="I7" s="87"/>
      <c r="J7" s="87"/>
      <c r="K7" s="69" t="s">
        <v>11</v>
      </c>
      <c r="L7" s="70"/>
    </row>
    <row r="8" spans="1:12" ht="24.95" customHeight="1" thickBot="1" x14ac:dyDescent="0.25">
      <c r="A8" s="68"/>
      <c r="B8" s="95"/>
      <c r="C8" s="96"/>
      <c r="D8" s="88"/>
      <c r="E8" s="88"/>
      <c r="F8" s="5" t="s">
        <v>10</v>
      </c>
      <c r="G8" s="5" t="s">
        <v>9</v>
      </c>
      <c r="H8" s="88"/>
      <c r="I8" s="88"/>
      <c r="J8" s="88"/>
      <c r="K8" s="71"/>
      <c r="L8" s="72"/>
    </row>
    <row r="9" spans="1:12" ht="24.95" customHeight="1" thickBot="1" x14ac:dyDescent="0.25">
      <c r="A9" s="73">
        <v>700.4</v>
      </c>
      <c r="B9" s="75">
        <v>28</v>
      </c>
      <c r="C9" s="76"/>
      <c r="D9" s="42">
        <f>AVERAGE(B13:E25)</f>
        <v>6.080000000000001</v>
      </c>
      <c r="E9" s="44"/>
      <c r="F9" s="61">
        <f>AVERAGE(I13,I15,I17,I19)</f>
        <v>5.7666666666666657</v>
      </c>
      <c r="G9" s="62"/>
      <c r="H9" s="79">
        <f>AVERAGE(K13,K15,K17,K19)</f>
        <v>94.233333333333348</v>
      </c>
      <c r="I9" s="80"/>
      <c r="J9" s="81"/>
      <c r="K9" s="79">
        <f>AVERAGE(L13,L15,L17,L19)</f>
        <v>0</v>
      </c>
      <c r="L9" s="81"/>
    </row>
    <row r="10" spans="1:12" ht="24.95" customHeight="1" thickBot="1" x14ac:dyDescent="0.25">
      <c r="A10" s="74"/>
      <c r="B10" s="77"/>
      <c r="C10" s="78"/>
      <c r="D10" s="48"/>
      <c r="E10" s="50"/>
      <c r="F10" s="3">
        <f>AVERAGE(I14,I16,I18,I20)</f>
        <v>2.3666666666666667</v>
      </c>
      <c r="G10" s="3">
        <f>AVERAGE(J14,J16,J18,J20)</f>
        <v>3.4</v>
      </c>
      <c r="H10" s="82"/>
      <c r="I10" s="83"/>
      <c r="J10" s="84"/>
      <c r="K10" s="82"/>
      <c r="L10" s="84"/>
    </row>
    <row r="11" spans="1:12" ht="24.95" customHeight="1" thickBot="1" x14ac:dyDescent="0.25">
      <c r="A11" s="67" t="s">
        <v>8</v>
      </c>
      <c r="B11" s="69" t="s">
        <v>7</v>
      </c>
      <c r="C11" s="70"/>
      <c r="D11" s="69" t="s">
        <v>6</v>
      </c>
      <c r="E11" s="70"/>
      <c r="F11" s="69" t="s">
        <v>5</v>
      </c>
      <c r="G11" s="87"/>
      <c r="H11" s="70"/>
      <c r="I11" s="89" t="s">
        <v>4</v>
      </c>
      <c r="J11" s="90"/>
      <c r="K11" s="85" t="s">
        <v>3</v>
      </c>
      <c r="L11" s="70" t="s">
        <v>2</v>
      </c>
    </row>
    <row r="12" spans="1:12" ht="24.95" customHeight="1" thickBot="1" x14ac:dyDescent="0.25">
      <c r="A12" s="68"/>
      <c r="B12" s="71"/>
      <c r="C12" s="72"/>
      <c r="D12" s="71"/>
      <c r="E12" s="72"/>
      <c r="F12" s="71"/>
      <c r="G12" s="88"/>
      <c r="H12" s="72"/>
      <c r="I12" s="5" t="s">
        <v>1</v>
      </c>
      <c r="J12" s="29" t="s">
        <v>0</v>
      </c>
      <c r="K12" s="86"/>
      <c r="L12" s="72"/>
    </row>
    <row r="13" spans="1:12" ht="24.95" customHeight="1" thickBot="1" x14ac:dyDescent="0.25">
      <c r="A13" s="53">
        <v>0.33333333333333331</v>
      </c>
      <c r="B13" s="42">
        <v>7</v>
      </c>
      <c r="C13" s="44"/>
      <c r="D13" s="42">
        <v>2.89</v>
      </c>
      <c r="E13" s="44"/>
      <c r="F13" s="63">
        <v>15.57</v>
      </c>
      <c r="G13" s="64"/>
      <c r="H13" s="107"/>
      <c r="I13" s="61">
        <v>7.6</v>
      </c>
      <c r="J13" s="62"/>
      <c r="K13" s="39">
        <v>92.4</v>
      </c>
      <c r="L13" s="39">
        <v>0</v>
      </c>
    </row>
    <row r="14" spans="1:12" ht="24.95" customHeight="1" thickBot="1" x14ac:dyDescent="0.25">
      <c r="A14" s="54"/>
      <c r="B14" s="48"/>
      <c r="C14" s="50"/>
      <c r="D14" s="48"/>
      <c r="E14" s="50"/>
      <c r="F14" s="65"/>
      <c r="G14" s="66"/>
      <c r="H14" s="108"/>
      <c r="I14" s="3">
        <v>3</v>
      </c>
      <c r="J14" s="28">
        <v>4.5999999999999996</v>
      </c>
      <c r="K14" s="40"/>
      <c r="L14" s="40"/>
    </row>
    <row r="15" spans="1:12" ht="24.95" customHeight="1" thickBot="1" x14ac:dyDescent="0.25">
      <c r="A15" s="53">
        <v>0.41666666666666669</v>
      </c>
      <c r="B15" s="42"/>
      <c r="C15" s="44"/>
      <c r="D15" s="42"/>
      <c r="E15" s="44"/>
      <c r="F15" s="63">
        <v>9.86</v>
      </c>
      <c r="G15" s="64"/>
      <c r="H15" s="107"/>
      <c r="I15" s="61">
        <v>4.8</v>
      </c>
      <c r="J15" s="62"/>
      <c r="K15" s="39">
        <v>95.2</v>
      </c>
      <c r="L15" s="39">
        <v>0</v>
      </c>
    </row>
    <row r="16" spans="1:12" ht="24.95" customHeight="1" thickBot="1" x14ac:dyDescent="0.25">
      <c r="A16" s="54"/>
      <c r="B16" s="48"/>
      <c r="C16" s="50"/>
      <c r="D16" s="48"/>
      <c r="E16" s="50"/>
      <c r="F16" s="65"/>
      <c r="G16" s="66"/>
      <c r="H16" s="108"/>
      <c r="I16" s="3">
        <v>2.4</v>
      </c>
      <c r="J16" s="28">
        <v>2.4</v>
      </c>
      <c r="K16" s="40"/>
      <c r="L16" s="40"/>
    </row>
    <row r="17" spans="1:12" ht="24.95" customHeight="1" thickBot="1" x14ac:dyDescent="0.25">
      <c r="A17" s="53">
        <v>0.5</v>
      </c>
      <c r="B17" s="42">
        <v>8.02</v>
      </c>
      <c r="C17" s="44"/>
      <c r="D17" s="42">
        <v>2.35</v>
      </c>
      <c r="E17" s="44"/>
      <c r="F17" s="63"/>
      <c r="G17" s="64"/>
      <c r="H17" s="30"/>
      <c r="I17" s="61"/>
      <c r="J17" s="62"/>
      <c r="K17" s="39"/>
      <c r="L17" s="39"/>
    </row>
    <row r="18" spans="1:12" ht="24.95" customHeight="1" thickBot="1" x14ac:dyDescent="0.25">
      <c r="A18" s="54"/>
      <c r="B18" s="48"/>
      <c r="C18" s="50"/>
      <c r="D18" s="48"/>
      <c r="E18" s="50"/>
      <c r="F18" s="65"/>
      <c r="G18" s="66"/>
      <c r="H18" s="10"/>
      <c r="I18" s="3"/>
      <c r="J18" s="31"/>
      <c r="K18" s="40"/>
      <c r="L18" s="40"/>
    </row>
    <row r="19" spans="1:12" ht="24.95" customHeight="1" thickBot="1" x14ac:dyDescent="0.25">
      <c r="A19" s="53">
        <v>0.58333333333333337</v>
      </c>
      <c r="B19" s="42">
        <v>12.22</v>
      </c>
      <c r="C19" s="44"/>
      <c r="D19" s="42"/>
      <c r="E19" s="44"/>
      <c r="F19" s="63">
        <v>2.5499999999999998</v>
      </c>
      <c r="G19" s="64"/>
      <c r="H19" s="107"/>
      <c r="I19" s="61">
        <v>4.9000000000000004</v>
      </c>
      <c r="J19" s="62"/>
      <c r="K19" s="39">
        <v>95.1</v>
      </c>
      <c r="L19" s="39">
        <v>0</v>
      </c>
    </row>
    <row r="20" spans="1:12" ht="24.95" customHeight="1" thickBot="1" x14ac:dyDescent="0.25">
      <c r="A20" s="54"/>
      <c r="B20" s="48"/>
      <c r="C20" s="50"/>
      <c r="D20" s="48"/>
      <c r="E20" s="50"/>
      <c r="F20" s="65"/>
      <c r="G20" s="66"/>
      <c r="H20" s="108"/>
      <c r="I20" s="3">
        <v>1.7</v>
      </c>
      <c r="J20" s="28">
        <v>3.2</v>
      </c>
      <c r="K20" s="40"/>
      <c r="L20" s="40"/>
    </row>
    <row r="21" spans="1:12" ht="50.1" customHeight="1" thickBot="1" x14ac:dyDescent="0.25">
      <c r="A21" s="1">
        <v>0.66666666666666663</v>
      </c>
      <c r="B21" s="41">
        <v>9.9499999999999993</v>
      </c>
      <c r="C21" s="41"/>
      <c r="D21" s="41">
        <v>5.81</v>
      </c>
      <c r="E21" s="41"/>
      <c r="F21" s="42"/>
      <c r="G21" s="43"/>
      <c r="H21" s="43"/>
      <c r="I21" s="43"/>
      <c r="J21" s="43"/>
      <c r="K21" s="43"/>
      <c r="L21" s="44"/>
    </row>
    <row r="22" spans="1:12" ht="50.1" customHeight="1" thickBot="1" x14ac:dyDescent="0.25">
      <c r="A22" s="1">
        <v>0.83333333333333337</v>
      </c>
      <c r="B22" s="41">
        <v>8.64</v>
      </c>
      <c r="C22" s="41"/>
      <c r="D22" s="41">
        <v>3.56</v>
      </c>
      <c r="E22" s="41"/>
      <c r="F22" s="45"/>
      <c r="G22" s="46"/>
      <c r="H22" s="46"/>
      <c r="I22" s="46"/>
      <c r="J22" s="46"/>
      <c r="K22" s="46"/>
      <c r="L22" s="47"/>
    </row>
    <row r="23" spans="1:12" ht="50.1" customHeight="1" thickBot="1" x14ac:dyDescent="0.25">
      <c r="A23" s="1">
        <v>1</v>
      </c>
      <c r="B23" s="51">
        <v>3.18</v>
      </c>
      <c r="C23" s="52"/>
      <c r="D23" s="51">
        <v>3.46</v>
      </c>
      <c r="E23" s="52"/>
      <c r="F23" s="45"/>
      <c r="G23" s="46"/>
      <c r="H23" s="46"/>
      <c r="I23" s="46"/>
      <c r="J23" s="46"/>
      <c r="K23" s="46"/>
      <c r="L23" s="47"/>
    </row>
    <row r="24" spans="1:12" ht="50.1" customHeight="1" thickBot="1" x14ac:dyDescent="0.25">
      <c r="A24" s="1">
        <v>0.16666666666666666</v>
      </c>
      <c r="B24" s="41">
        <v>8.34</v>
      </c>
      <c r="C24" s="41"/>
      <c r="D24" s="41">
        <v>6.4</v>
      </c>
      <c r="E24" s="41"/>
      <c r="F24" s="45"/>
      <c r="G24" s="46"/>
      <c r="H24" s="46"/>
      <c r="I24" s="46"/>
      <c r="J24" s="46"/>
      <c r="K24" s="46"/>
      <c r="L24" s="47"/>
    </row>
    <row r="25" spans="1:12" ht="50.1" customHeight="1" thickBot="1" x14ac:dyDescent="0.25">
      <c r="A25" s="1">
        <v>0.22916666666666666</v>
      </c>
      <c r="B25" s="41">
        <v>3.3</v>
      </c>
      <c r="C25" s="41"/>
      <c r="D25" s="41"/>
      <c r="E25" s="41"/>
      <c r="F25" s="48"/>
      <c r="G25" s="49"/>
      <c r="H25" s="49"/>
      <c r="I25" s="49"/>
      <c r="J25" s="49"/>
      <c r="K25" s="49"/>
      <c r="L25" s="50"/>
    </row>
  </sheetData>
  <mergeCells count="71">
    <mergeCell ref="F19:H20"/>
    <mergeCell ref="I19:J19"/>
    <mergeCell ref="K19:K20"/>
    <mergeCell ref="B21:C21"/>
    <mergeCell ref="D21:E21"/>
    <mergeCell ref="F21:L25"/>
    <mergeCell ref="B22:C22"/>
    <mergeCell ref="D22:E22"/>
    <mergeCell ref="B23:C23"/>
    <mergeCell ref="D23:E23"/>
    <mergeCell ref="B24:C24"/>
    <mergeCell ref="D24:E24"/>
    <mergeCell ref="L19:L20"/>
    <mergeCell ref="B25:C25"/>
    <mergeCell ref="D25:E25"/>
    <mergeCell ref="D19:E20"/>
    <mergeCell ref="L15:L16"/>
    <mergeCell ref="K17:K18"/>
    <mergeCell ref="L17:L18"/>
    <mergeCell ref="A15:A16"/>
    <mergeCell ref="B15:C16"/>
    <mergeCell ref="D15:E16"/>
    <mergeCell ref="F15:H16"/>
    <mergeCell ref="I15:J15"/>
    <mergeCell ref="K15:K16"/>
    <mergeCell ref="A17:A18"/>
    <mergeCell ref="B17:C18"/>
    <mergeCell ref="D17:E18"/>
    <mergeCell ref="F17:G18"/>
    <mergeCell ref="I17:J17"/>
    <mergeCell ref="K13:K14"/>
    <mergeCell ref="L13:L14"/>
    <mergeCell ref="A11:A12"/>
    <mergeCell ref="B11:C12"/>
    <mergeCell ref="D11:E12"/>
    <mergeCell ref="F11:H12"/>
    <mergeCell ref="I11:J11"/>
    <mergeCell ref="K11:K12"/>
    <mergeCell ref="A13:A14"/>
    <mergeCell ref="B13:C14"/>
    <mergeCell ref="D13:E14"/>
    <mergeCell ref="F13:H14"/>
    <mergeCell ref="I13:J13"/>
    <mergeCell ref="A4:B4"/>
    <mergeCell ref="C4:D4"/>
    <mergeCell ref="E4:G4"/>
    <mergeCell ref="H4:J4"/>
    <mergeCell ref="K4:L4"/>
    <mergeCell ref="A1:L1"/>
    <mergeCell ref="A2:L2"/>
    <mergeCell ref="A3:B3"/>
    <mergeCell ref="C3:D3"/>
    <mergeCell ref="E3:G3"/>
    <mergeCell ref="H3:J3"/>
    <mergeCell ref="K3:L3"/>
    <mergeCell ref="B19:C20"/>
    <mergeCell ref="A5:L5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19:A20"/>
    <mergeCell ref="L11:L12"/>
  </mergeCells>
  <conditionalFormatting sqref="D9">
    <cfRule type="cellIs" dxfId="145" priority="27" operator="greaterThan">
      <formula>7</formula>
    </cfRule>
  </conditionalFormatting>
  <conditionalFormatting sqref="F9">
    <cfRule type="cellIs" dxfId="144" priority="26" operator="greaterThan">
      <formula>20</formula>
    </cfRule>
  </conditionalFormatting>
  <conditionalFormatting sqref="H9:J10">
    <cfRule type="cellIs" dxfId="143" priority="25" operator="lessThan">
      <formula>80</formula>
    </cfRule>
  </conditionalFormatting>
  <conditionalFormatting sqref="K9:L10">
    <cfRule type="cellIs" dxfId="142" priority="24" operator="greaterThan">
      <formula>0</formula>
    </cfRule>
  </conditionalFormatting>
  <conditionalFormatting sqref="B24:E24 B23 D23 B15 D13 B13 B21:F22">
    <cfRule type="cellIs" dxfId="141" priority="23" operator="greaterThan">
      <formula>7</formula>
    </cfRule>
  </conditionalFormatting>
  <conditionalFormatting sqref="I15 I13">
    <cfRule type="cellIs" dxfId="140" priority="22" operator="greaterThan">
      <formula>20</formula>
    </cfRule>
  </conditionalFormatting>
  <conditionalFormatting sqref="K15 K13">
    <cfRule type="cellIs" dxfId="139" priority="21" stopIfTrue="1" operator="lessThan">
      <formula>80</formula>
    </cfRule>
  </conditionalFormatting>
  <conditionalFormatting sqref="L15 L13">
    <cfRule type="cellIs" dxfId="138" priority="20" operator="greaterThan">
      <formula>0</formula>
    </cfRule>
  </conditionalFormatting>
  <conditionalFormatting sqref="F15 F19 F13">
    <cfRule type="cellIs" dxfId="137" priority="19" stopIfTrue="1" operator="greaterThan">
      <formula>10</formula>
    </cfRule>
  </conditionalFormatting>
  <conditionalFormatting sqref="K19">
    <cfRule type="cellIs" dxfId="136" priority="18" stopIfTrue="1" operator="lessThan">
      <formula>80</formula>
    </cfRule>
  </conditionalFormatting>
  <conditionalFormatting sqref="I14:J14">
    <cfRule type="cellIs" dxfId="135" priority="17" operator="greaterThan">
      <formula>20</formula>
    </cfRule>
  </conditionalFormatting>
  <conditionalFormatting sqref="J16">
    <cfRule type="cellIs" dxfId="134" priority="16" operator="greaterThan">
      <formula>20</formula>
    </cfRule>
  </conditionalFormatting>
  <conditionalFormatting sqref="I16:I17">
    <cfRule type="cellIs" dxfId="133" priority="15" operator="greaterThan">
      <formula>20</formula>
    </cfRule>
  </conditionalFormatting>
  <conditionalFormatting sqref="I18">
    <cfRule type="cellIs" dxfId="132" priority="14" operator="greaterThan">
      <formula>20</formula>
    </cfRule>
  </conditionalFormatting>
  <conditionalFormatting sqref="I19">
    <cfRule type="cellIs" dxfId="131" priority="13" operator="greaterThan">
      <formula>20</formula>
    </cfRule>
  </conditionalFormatting>
  <conditionalFormatting sqref="I20">
    <cfRule type="cellIs" dxfId="130" priority="12" operator="greaterThan">
      <formula>20</formula>
    </cfRule>
  </conditionalFormatting>
  <conditionalFormatting sqref="J20">
    <cfRule type="cellIs" dxfId="129" priority="11" operator="greaterThan">
      <formula>20</formula>
    </cfRule>
  </conditionalFormatting>
  <conditionalFormatting sqref="D15">
    <cfRule type="cellIs" dxfId="128" priority="10" operator="greaterThan">
      <formula>7</formula>
    </cfRule>
  </conditionalFormatting>
  <conditionalFormatting sqref="D17">
    <cfRule type="cellIs" dxfId="127" priority="9" operator="greaterThan">
      <formula>7</formula>
    </cfRule>
  </conditionalFormatting>
  <conditionalFormatting sqref="B17">
    <cfRule type="cellIs" dxfId="126" priority="8" operator="greaterThan">
      <formula>7</formula>
    </cfRule>
  </conditionalFormatting>
  <conditionalFormatting sqref="L17">
    <cfRule type="cellIs" dxfId="125" priority="6" operator="greaterThan">
      <formula>0</formula>
    </cfRule>
  </conditionalFormatting>
  <conditionalFormatting sqref="L19">
    <cfRule type="cellIs" dxfId="124" priority="5" operator="greaterThan">
      <formula>0</formula>
    </cfRule>
  </conditionalFormatting>
  <conditionalFormatting sqref="F17">
    <cfRule type="cellIs" dxfId="123" priority="4" stopIfTrue="1" operator="greaterThan">
      <formula>10</formula>
    </cfRule>
  </conditionalFormatting>
  <conditionalFormatting sqref="B19 D19">
    <cfRule type="cellIs" dxfId="122" priority="3" operator="greaterThan">
      <formula>7</formula>
    </cfRule>
  </conditionalFormatting>
  <conditionalFormatting sqref="B25:E25">
    <cfRule type="cellIs" dxfId="121" priority="2" operator="greaterThan">
      <formula>7</formula>
    </cfRule>
  </conditionalFormatting>
  <conditionalFormatting sqref="K17">
    <cfRule type="cellIs" dxfId="120" priority="1" operator="greaterThan">
      <formula>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topLeftCell="A16" zoomScale="90" zoomScaleNormal="100" zoomScaleSheetLayoutView="90" zoomScalePageLayoutView="80" workbookViewId="0">
      <selection activeCell="D25" sqref="D25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100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2"/>
    </row>
    <row r="2" spans="1:12" ht="40.5" customHeight="1" x14ac:dyDescent="0.2">
      <c r="A2" s="103" t="s">
        <v>25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5"/>
    </row>
    <row r="3" spans="1:12" ht="40.5" customHeight="1" x14ac:dyDescent="0.2">
      <c r="A3" s="106" t="s">
        <v>24</v>
      </c>
      <c r="B3" s="106"/>
      <c r="C3" s="106" t="s">
        <v>23</v>
      </c>
      <c r="D3" s="106"/>
      <c r="E3" s="106" t="s">
        <v>22</v>
      </c>
      <c r="F3" s="106"/>
      <c r="G3" s="106"/>
      <c r="H3" s="106" t="s">
        <v>21</v>
      </c>
      <c r="I3" s="106"/>
      <c r="J3" s="106"/>
      <c r="K3" s="106" t="s">
        <v>20</v>
      </c>
      <c r="L3" s="106"/>
    </row>
    <row r="4" spans="1:12" ht="40.5" customHeight="1" x14ac:dyDescent="0.2">
      <c r="A4" s="91">
        <v>48527531</v>
      </c>
      <c r="B4" s="91"/>
      <c r="C4" s="91"/>
      <c r="D4" s="91"/>
      <c r="E4" s="91" t="s">
        <v>53</v>
      </c>
      <c r="F4" s="91"/>
      <c r="G4" s="91"/>
      <c r="H4" s="91" t="s">
        <v>19</v>
      </c>
      <c r="I4" s="91"/>
      <c r="J4" s="91"/>
      <c r="K4" s="92" t="s">
        <v>18</v>
      </c>
      <c r="L4" s="92"/>
    </row>
    <row r="5" spans="1:12" ht="40.5" customHeight="1" thickBot="1" x14ac:dyDescent="0.25">
      <c r="A5" s="97" t="s">
        <v>17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67" t="s">
        <v>16</v>
      </c>
      <c r="B7" s="93" t="s">
        <v>15</v>
      </c>
      <c r="C7" s="94"/>
      <c r="D7" s="87" t="s">
        <v>14</v>
      </c>
      <c r="E7" s="87"/>
      <c r="F7" s="89" t="s">
        <v>13</v>
      </c>
      <c r="G7" s="90"/>
      <c r="H7" s="87" t="s">
        <v>12</v>
      </c>
      <c r="I7" s="87"/>
      <c r="J7" s="87"/>
      <c r="K7" s="69" t="s">
        <v>11</v>
      </c>
      <c r="L7" s="70"/>
    </row>
    <row r="8" spans="1:12" ht="24.95" customHeight="1" thickBot="1" x14ac:dyDescent="0.25">
      <c r="A8" s="68"/>
      <c r="B8" s="95"/>
      <c r="C8" s="96"/>
      <c r="D8" s="88"/>
      <c r="E8" s="88"/>
      <c r="F8" s="5" t="s">
        <v>10</v>
      </c>
      <c r="G8" s="5" t="s">
        <v>9</v>
      </c>
      <c r="H8" s="88"/>
      <c r="I8" s="88"/>
      <c r="J8" s="88"/>
      <c r="K8" s="71"/>
      <c r="L8" s="72"/>
    </row>
    <row r="9" spans="1:12" ht="24.95" customHeight="1" thickBot="1" x14ac:dyDescent="0.25">
      <c r="A9" s="73">
        <v>594.6</v>
      </c>
      <c r="B9" s="75">
        <v>24</v>
      </c>
      <c r="C9" s="76"/>
      <c r="D9" s="42">
        <f>AVERAGE(B13:E24)</f>
        <v>3.0833333333333339</v>
      </c>
      <c r="E9" s="44"/>
      <c r="F9" s="61">
        <f>AVERAGE(I13,I15,I17,I19)</f>
        <v>11.5</v>
      </c>
      <c r="G9" s="62"/>
      <c r="H9" s="79">
        <f>AVERAGE(K13,K15,K17,K19)</f>
        <v>88.5</v>
      </c>
      <c r="I9" s="80"/>
      <c r="J9" s="81"/>
      <c r="K9" s="79">
        <f>AVERAGE(L13,L15,L17,L19)</f>
        <v>0</v>
      </c>
      <c r="L9" s="81"/>
    </row>
    <row r="10" spans="1:12" ht="24.95" customHeight="1" thickBot="1" x14ac:dyDescent="0.25">
      <c r="A10" s="74"/>
      <c r="B10" s="77"/>
      <c r="C10" s="78"/>
      <c r="D10" s="48"/>
      <c r="E10" s="50"/>
      <c r="F10" s="3">
        <f>AVERAGE(I14,I16,I18,I20)</f>
        <v>6.9333333333333336</v>
      </c>
      <c r="G10" s="3">
        <f>AVERAGE(J14,J16,J18,J20)</f>
        <v>4.5666666666666673</v>
      </c>
      <c r="H10" s="82"/>
      <c r="I10" s="83"/>
      <c r="J10" s="84"/>
      <c r="K10" s="82"/>
      <c r="L10" s="84"/>
    </row>
    <row r="11" spans="1:12" ht="24.95" customHeight="1" thickBot="1" x14ac:dyDescent="0.25">
      <c r="A11" s="67" t="s">
        <v>8</v>
      </c>
      <c r="B11" s="69" t="s">
        <v>7</v>
      </c>
      <c r="C11" s="70"/>
      <c r="D11" s="69" t="s">
        <v>6</v>
      </c>
      <c r="E11" s="70"/>
      <c r="F11" s="69" t="s">
        <v>5</v>
      </c>
      <c r="G11" s="87"/>
      <c r="H11" s="70"/>
      <c r="I11" s="89" t="s">
        <v>4</v>
      </c>
      <c r="J11" s="90"/>
      <c r="K11" s="85" t="s">
        <v>3</v>
      </c>
      <c r="L11" s="70" t="s">
        <v>2</v>
      </c>
    </row>
    <row r="12" spans="1:12" ht="24.95" customHeight="1" thickBot="1" x14ac:dyDescent="0.25">
      <c r="A12" s="68"/>
      <c r="B12" s="71"/>
      <c r="C12" s="72"/>
      <c r="D12" s="71"/>
      <c r="E12" s="72"/>
      <c r="F12" s="71"/>
      <c r="G12" s="88"/>
      <c r="H12" s="72"/>
      <c r="I12" s="5" t="s">
        <v>1</v>
      </c>
      <c r="J12" s="29" t="s">
        <v>0</v>
      </c>
      <c r="K12" s="86"/>
      <c r="L12" s="72"/>
    </row>
    <row r="13" spans="1:12" ht="24.95" customHeight="1" thickBot="1" x14ac:dyDescent="0.25">
      <c r="A13" s="53">
        <v>0.33333333333333331</v>
      </c>
      <c r="B13" s="42">
        <v>3.22</v>
      </c>
      <c r="C13" s="44"/>
      <c r="D13" s="42">
        <v>2.2200000000000002</v>
      </c>
      <c r="E13" s="44"/>
      <c r="F13" s="63">
        <v>7.35</v>
      </c>
      <c r="G13" s="64"/>
      <c r="H13" s="107"/>
      <c r="I13" s="61">
        <v>5.7</v>
      </c>
      <c r="J13" s="62"/>
      <c r="K13" s="39">
        <v>94.3</v>
      </c>
      <c r="L13" s="39">
        <v>0</v>
      </c>
    </row>
    <row r="14" spans="1:12" ht="24.95" customHeight="1" thickBot="1" x14ac:dyDescent="0.25">
      <c r="A14" s="54"/>
      <c r="B14" s="48"/>
      <c r="C14" s="50"/>
      <c r="D14" s="48"/>
      <c r="E14" s="50"/>
      <c r="F14" s="65"/>
      <c r="G14" s="66"/>
      <c r="H14" s="108"/>
      <c r="I14" s="3">
        <v>2.1</v>
      </c>
      <c r="J14" s="28">
        <v>3.6</v>
      </c>
      <c r="K14" s="40"/>
      <c r="L14" s="40"/>
    </row>
    <row r="15" spans="1:12" ht="24.95" customHeight="1" thickBot="1" x14ac:dyDescent="0.25">
      <c r="A15" s="53">
        <v>0.41666666666666669</v>
      </c>
      <c r="B15" s="42"/>
      <c r="C15" s="44"/>
      <c r="D15" s="42"/>
      <c r="E15" s="44"/>
      <c r="F15" s="63">
        <v>9.27</v>
      </c>
      <c r="G15" s="64"/>
      <c r="H15" s="107"/>
      <c r="I15" s="61">
        <v>17.100000000000001</v>
      </c>
      <c r="J15" s="62"/>
      <c r="K15" s="39">
        <v>82.9</v>
      </c>
      <c r="L15" s="39">
        <v>0</v>
      </c>
    </row>
    <row r="16" spans="1:12" ht="24.95" customHeight="1" thickBot="1" x14ac:dyDescent="0.25">
      <c r="A16" s="54"/>
      <c r="B16" s="48"/>
      <c r="C16" s="50"/>
      <c r="D16" s="48"/>
      <c r="E16" s="50"/>
      <c r="F16" s="65"/>
      <c r="G16" s="66"/>
      <c r="H16" s="108"/>
      <c r="I16" s="3">
        <v>11.4</v>
      </c>
      <c r="J16" s="28">
        <v>5.7</v>
      </c>
      <c r="K16" s="40"/>
      <c r="L16" s="40"/>
    </row>
    <row r="17" spans="1:12" ht="24.95" customHeight="1" thickBot="1" x14ac:dyDescent="0.25">
      <c r="A17" s="53">
        <v>0.5</v>
      </c>
      <c r="B17" s="42">
        <v>4.0999999999999996</v>
      </c>
      <c r="C17" s="44"/>
      <c r="D17" s="42">
        <v>2.89</v>
      </c>
      <c r="E17" s="44"/>
      <c r="F17" s="63"/>
      <c r="G17" s="64"/>
      <c r="H17" s="30"/>
      <c r="I17" s="61"/>
      <c r="J17" s="62"/>
      <c r="K17" s="39"/>
      <c r="L17" s="39"/>
    </row>
    <row r="18" spans="1:12" ht="24.95" customHeight="1" thickBot="1" x14ac:dyDescent="0.25">
      <c r="A18" s="54"/>
      <c r="B18" s="48"/>
      <c r="C18" s="50"/>
      <c r="D18" s="48"/>
      <c r="E18" s="50"/>
      <c r="F18" s="65"/>
      <c r="G18" s="66"/>
      <c r="H18" s="10"/>
      <c r="I18" s="3"/>
      <c r="J18" s="31"/>
      <c r="K18" s="40"/>
      <c r="L18" s="40"/>
    </row>
    <row r="19" spans="1:12" ht="24.95" customHeight="1" thickBot="1" x14ac:dyDescent="0.25">
      <c r="A19" s="53">
        <v>0.58333333333333337</v>
      </c>
      <c r="B19" s="42"/>
      <c r="C19" s="43"/>
      <c r="D19" s="43"/>
      <c r="E19" s="44"/>
      <c r="F19" s="63">
        <v>8.73</v>
      </c>
      <c r="G19" s="64"/>
      <c r="H19" s="107"/>
      <c r="I19" s="61">
        <v>11.7</v>
      </c>
      <c r="J19" s="62"/>
      <c r="K19" s="39">
        <v>88.3</v>
      </c>
      <c r="L19" s="39">
        <v>0</v>
      </c>
    </row>
    <row r="20" spans="1:12" ht="24.95" customHeight="1" thickBot="1" x14ac:dyDescent="0.25">
      <c r="A20" s="54"/>
      <c r="B20" s="48"/>
      <c r="C20" s="49"/>
      <c r="D20" s="49"/>
      <c r="E20" s="50"/>
      <c r="F20" s="65"/>
      <c r="G20" s="66"/>
      <c r="H20" s="108"/>
      <c r="I20" s="3">
        <v>7.3</v>
      </c>
      <c r="J20" s="28">
        <v>4.4000000000000004</v>
      </c>
      <c r="K20" s="40"/>
      <c r="L20" s="40"/>
    </row>
    <row r="21" spans="1:12" ht="50.1" customHeight="1" thickBot="1" x14ac:dyDescent="0.25">
      <c r="A21" s="1">
        <v>0.66666666666666663</v>
      </c>
      <c r="B21" s="41">
        <v>1.4</v>
      </c>
      <c r="C21" s="41"/>
      <c r="D21" s="41">
        <v>4.7300000000000004</v>
      </c>
      <c r="E21" s="41"/>
      <c r="F21" s="42"/>
      <c r="G21" s="43"/>
      <c r="H21" s="43"/>
      <c r="I21" s="43"/>
      <c r="J21" s="43"/>
      <c r="K21" s="43"/>
      <c r="L21" s="44"/>
    </row>
    <row r="22" spans="1:12" ht="50.1" customHeight="1" thickBot="1" x14ac:dyDescent="0.25">
      <c r="A22" s="1">
        <v>0.83333333333333337</v>
      </c>
      <c r="B22" s="41">
        <v>1.49</v>
      </c>
      <c r="C22" s="41"/>
      <c r="D22" s="41">
        <v>3.94</v>
      </c>
      <c r="E22" s="41"/>
      <c r="F22" s="45"/>
      <c r="G22" s="46"/>
      <c r="H22" s="46"/>
      <c r="I22" s="46"/>
      <c r="J22" s="46"/>
      <c r="K22" s="46"/>
      <c r="L22" s="47"/>
    </row>
    <row r="23" spans="1:12" ht="50.1" customHeight="1" thickBot="1" x14ac:dyDescent="0.25">
      <c r="A23" s="1">
        <v>1</v>
      </c>
      <c r="B23" s="51">
        <v>4.28</v>
      </c>
      <c r="C23" s="52"/>
      <c r="D23" s="51">
        <v>4.5199999999999996</v>
      </c>
      <c r="E23" s="52"/>
      <c r="F23" s="45"/>
      <c r="G23" s="46"/>
      <c r="H23" s="46"/>
      <c r="I23" s="46"/>
      <c r="J23" s="46"/>
      <c r="K23" s="46"/>
      <c r="L23" s="47"/>
    </row>
    <row r="24" spans="1:12" ht="50.1" customHeight="1" thickBot="1" x14ac:dyDescent="0.25">
      <c r="A24" s="1">
        <v>0.16666666666666666</v>
      </c>
      <c r="B24" s="41">
        <v>2.04</v>
      </c>
      <c r="C24" s="41"/>
      <c r="D24" s="41">
        <v>2.17</v>
      </c>
      <c r="E24" s="41"/>
      <c r="F24" s="48"/>
      <c r="G24" s="49"/>
      <c r="H24" s="49"/>
      <c r="I24" s="49"/>
      <c r="J24" s="49"/>
      <c r="K24" s="49"/>
      <c r="L24" s="50"/>
    </row>
  </sheetData>
  <mergeCells count="68">
    <mergeCell ref="B19:E20"/>
    <mergeCell ref="F19:H20"/>
    <mergeCell ref="I19:J19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  <mergeCell ref="L19:L20"/>
    <mergeCell ref="K17:K18"/>
    <mergeCell ref="L17:L18"/>
    <mergeCell ref="A15:A16"/>
    <mergeCell ref="B15:C16"/>
    <mergeCell ref="D15:E16"/>
    <mergeCell ref="F15:H16"/>
    <mergeCell ref="I15:J15"/>
    <mergeCell ref="K15:K16"/>
    <mergeCell ref="A17:A18"/>
    <mergeCell ref="B17:C18"/>
    <mergeCell ref="D17:E18"/>
    <mergeCell ref="F17:G18"/>
    <mergeCell ref="I17:J17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</mergeCells>
  <conditionalFormatting sqref="D9">
    <cfRule type="cellIs" dxfId="119" priority="24" operator="greaterThan">
      <formula>7</formula>
    </cfRule>
  </conditionalFormatting>
  <conditionalFormatting sqref="F9">
    <cfRule type="cellIs" dxfId="118" priority="23" operator="greaterThan">
      <formula>20</formula>
    </cfRule>
  </conditionalFormatting>
  <conditionalFormatting sqref="H9:J10">
    <cfRule type="cellIs" dxfId="117" priority="22" operator="lessThan">
      <formula>80</formula>
    </cfRule>
  </conditionalFormatting>
  <conditionalFormatting sqref="K9:L10">
    <cfRule type="cellIs" dxfId="116" priority="21" operator="greaterThan">
      <formula>0</formula>
    </cfRule>
  </conditionalFormatting>
  <conditionalFormatting sqref="B24:E24 B23 D23 B22:E22 B21:F21 B15 B19 D13 B13">
    <cfRule type="cellIs" dxfId="115" priority="20" operator="greaterThan">
      <formula>7</formula>
    </cfRule>
  </conditionalFormatting>
  <conditionalFormatting sqref="I15 I13">
    <cfRule type="cellIs" dxfId="114" priority="19" operator="greaterThan">
      <formula>20</formula>
    </cfRule>
  </conditionalFormatting>
  <conditionalFormatting sqref="K15 K13">
    <cfRule type="cellIs" dxfId="113" priority="18" stopIfTrue="1" operator="lessThan">
      <formula>80</formula>
    </cfRule>
  </conditionalFormatting>
  <conditionalFormatting sqref="L15 L13">
    <cfRule type="cellIs" dxfId="112" priority="17" operator="greaterThan">
      <formula>0</formula>
    </cfRule>
  </conditionalFormatting>
  <conditionalFormatting sqref="F15 F19 F13">
    <cfRule type="cellIs" dxfId="111" priority="16" stopIfTrue="1" operator="greaterThan">
      <formula>10</formula>
    </cfRule>
  </conditionalFormatting>
  <conditionalFormatting sqref="K19">
    <cfRule type="cellIs" dxfId="110" priority="15" stopIfTrue="1" operator="lessThan">
      <formula>80</formula>
    </cfRule>
  </conditionalFormatting>
  <conditionalFormatting sqref="I14:J14">
    <cfRule type="cellIs" dxfId="109" priority="14" operator="greaterThan">
      <formula>20</formula>
    </cfRule>
  </conditionalFormatting>
  <conditionalFormatting sqref="J16">
    <cfRule type="cellIs" dxfId="108" priority="13" operator="greaterThan">
      <formula>20</formula>
    </cfRule>
  </conditionalFormatting>
  <conditionalFormatting sqref="I16:I17">
    <cfRule type="cellIs" dxfId="107" priority="12" operator="greaterThan">
      <formula>20</formula>
    </cfRule>
  </conditionalFormatting>
  <conditionalFormatting sqref="I18">
    <cfRule type="cellIs" dxfId="106" priority="11" operator="greaterThan">
      <formula>20</formula>
    </cfRule>
  </conditionalFormatting>
  <conditionalFormatting sqref="I19">
    <cfRule type="cellIs" dxfId="105" priority="10" operator="greaterThan">
      <formula>20</formula>
    </cfRule>
  </conditionalFormatting>
  <conditionalFormatting sqref="I20">
    <cfRule type="cellIs" dxfId="104" priority="9" operator="greaterThan">
      <formula>20</formula>
    </cfRule>
  </conditionalFormatting>
  <conditionalFormatting sqref="J20">
    <cfRule type="cellIs" dxfId="103" priority="8" operator="greaterThan">
      <formula>20</formula>
    </cfRule>
  </conditionalFormatting>
  <conditionalFormatting sqref="D15">
    <cfRule type="cellIs" dxfId="102" priority="7" operator="greaterThan">
      <formula>7</formula>
    </cfRule>
  </conditionalFormatting>
  <conditionalFormatting sqref="D17">
    <cfRule type="cellIs" dxfId="101" priority="6" operator="greaterThan">
      <formula>7</formula>
    </cfRule>
  </conditionalFormatting>
  <conditionalFormatting sqref="B17">
    <cfRule type="cellIs" dxfId="100" priority="5" operator="greaterThan">
      <formula>7</formula>
    </cfRule>
  </conditionalFormatting>
  <conditionalFormatting sqref="K17">
    <cfRule type="cellIs" dxfId="99" priority="4" stopIfTrue="1" operator="lessThan">
      <formula>80</formula>
    </cfRule>
  </conditionalFormatting>
  <conditionalFormatting sqref="L17">
    <cfRule type="cellIs" dxfId="98" priority="3" operator="greaterThan">
      <formula>0</formula>
    </cfRule>
  </conditionalFormatting>
  <conditionalFormatting sqref="L19">
    <cfRule type="cellIs" dxfId="97" priority="2" operator="greaterThan">
      <formula>0</formula>
    </cfRule>
  </conditionalFormatting>
  <conditionalFormatting sqref="F17">
    <cfRule type="cellIs" dxfId="96" priority="1" stopIfTrue="1" operator="greaterThan">
      <formula>10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topLeftCell="A13" zoomScale="69" zoomScaleNormal="100" zoomScaleSheetLayoutView="69" zoomScalePageLayoutView="80" workbookViewId="0">
      <selection activeCell="H9" sqref="H9:J10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100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2"/>
    </row>
    <row r="2" spans="1:12" ht="40.5" customHeight="1" x14ac:dyDescent="0.2">
      <c r="A2" s="103" t="s">
        <v>25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5"/>
    </row>
    <row r="3" spans="1:12" ht="40.5" customHeight="1" x14ac:dyDescent="0.2">
      <c r="A3" s="106" t="s">
        <v>24</v>
      </c>
      <c r="B3" s="106"/>
      <c r="C3" s="106" t="s">
        <v>23</v>
      </c>
      <c r="D3" s="106"/>
      <c r="E3" s="106" t="s">
        <v>22</v>
      </c>
      <c r="F3" s="106"/>
      <c r="G3" s="106"/>
      <c r="H3" s="106" t="s">
        <v>21</v>
      </c>
      <c r="I3" s="106"/>
      <c r="J3" s="106"/>
      <c r="K3" s="106" t="s">
        <v>20</v>
      </c>
      <c r="L3" s="106"/>
    </row>
    <row r="4" spans="1:12" ht="40.5" customHeight="1" x14ac:dyDescent="0.2">
      <c r="A4" s="91">
        <v>48527531</v>
      </c>
      <c r="B4" s="91"/>
      <c r="C4" s="91"/>
      <c r="D4" s="91"/>
      <c r="E4" s="91" t="s">
        <v>54</v>
      </c>
      <c r="F4" s="91"/>
      <c r="G4" s="91"/>
      <c r="H4" s="91" t="s">
        <v>19</v>
      </c>
      <c r="I4" s="91"/>
      <c r="J4" s="91"/>
      <c r="K4" s="92" t="s">
        <v>18</v>
      </c>
      <c r="L4" s="92"/>
    </row>
    <row r="5" spans="1:12" ht="40.5" customHeight="1" thickBot="1" x14ac:dyDescent="0.25">
      <c r="A5" s="97" t="s">
        <v>17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67" t="s">
        <v>16</v>
      </c>
      <c r="B7" s="93" t="s">
        <v>15</v>
      </c>
      <c r="C7" s="94"/>
      <c r="D7" s="87" t="s">
        <v>14</v>
      </c>
      <c r="E7" s="87"/>
      <c r="F7" s="89" t="s">
        <v>13</v>
      </c>
      <c r="G7" s="90"/>
      <c r="H7" s="87" t="s">
        <v>12</v>
      </c>
      <c r="I7" s="87"/>
      <c r="J7" s="87"/>
      <c r="K7" s="69" t="s">
        <v>11</v>
      </c>
      <c r="L7" s="70"/>
    </row>
    <row r="8" spans="1:12" ht="24.95" customHeight="1" thickBot="1" x14ac:dyDescent="0.25">
      <c r="A8" s="68"/>
      <c r="B8" s="95"/>
      <c r="C8" s="96"/>
      <c r="D8" s="88"/>
      <c r="E8" s="88"/>
      <c r="F8" s="5" t="s">
        <v>10</v>
      </c>
      <c r="G8" s="5" t="s">
        <v>9</v>
      </c>
      <c r="H8" s="88"/>
      <c r="I8" s="88"/>
      <c r="J8" s="88"/>
      <c r="K8" s="71"/>
      <c r="L8" s="72"/>
    </row>
    <row r="9" spans="1:12" ht="24.95" customHeight="1" thickBot="1" x14ac:dyDescent="0.25">
      <c r="A9" s="73">
        <v>525.29999999999995</v>
      </c>
      <c r="B9" s="75">
        <v>21</v>
      </c>
      <c r="C9" s="76"/>
      <c r="D9" s="42">
        <f>AVERAGE(B13:E24)</f>
        <v>3.8625000000000003</v>
      </c>
      <c r="E9" s="44"/>
      <c r="F9" s="61">
        <v>4.5999999999999996</v>
      </c>
      <c r="G9" s="62"/>
      <c r="H9" s="79">
        <v>95.4</v>
      </c>
      <c r="I9" s="80"/>
      <c r="J9" s="81"/>
      <c r="K9" s="79">
        <f>AVERAGE(L13,L15,L17,L19)</f>
        <v>0</v>
      </c>
      <c r="L9" s="81"/>
    </row>
    <row r="10" spans="1:12" ht="24.95" customHeight="1" thickBot="1" x14ac:dyDescent="0.25">
      <c r="A10" s="74"/>
      <c r="B10" s="77"/>
      <c r="C10" s="78"/>
      <c r="D10" s="48"/>
      <c r="E10" s="50"/>
      <c r="F10" s="3">
        <f>AVERAGE(I14,I16,I18,I20)</f>
        <v>1.8666666666666665</v>
      </c>
      <c r="G10" s="3">
        <f>AVERAGE(J14,J16,J18,J20)</f>
        <v>2.6666666666666665</v>
      </c>
      <c r="H10" s="82"/>
      <c r="I10" s="83"/>
      <c r="J10" s="84"/>
      <c r="K10" s="82"/>
      <c r="L10" s="84"/>
    </row>
    <row r="11" spans="1:12" ht="24.95" customHeight="1" thickBot="1" x14ac:dyDescent="0.25">
      <c r="A11" s="67" t="s">
        <v>8</v>
      </c>
      <c r="B11" s="69" t="s">
        <v>7</v>
      </c>
      <c r="C11" s="70"/>
      <c r="D11" s="69" t="s">
        <v>6</v>
      </c>
      <c r="E11" s="70"/>
      <c r="F11" s="69" t="s">
        <v>5</v>
      </c>
      <c r="G11" s="87"/>
      <c r="H11" s="70"/>
      <c r="I11" s="89" t="s">
        <v>4</v>
      </c>
      <c r="J11" s="90"/>
      <c r="K11" s="85" t="s">
        <v>3</v>
      </c>
      <c r="L11" s="70" t="s">
        <v>2</v>
      </c>
    </row>
    <row r="12" spans="1:12" ht="24.95" customHeight="1" thickBot="1" x14ac:dyDescent="0.25">
      <c r="A12" s="68"/>
      <c r="B12" s="71"/>
      <c r="C12" s="72"/>
      <c r="D12" s="71"/>
      <c r="E12" s="72"/>
      <c r="F12" s="71"/>
      <c r="G12" s="88"/>
      <c r="H12" s="72"/>
      <c r="I12" s="5" t="s">
        <v>1</v>
      </c>
      <c r="J12" s="29" t="s">
        <v>0</v>
      </c>
      <c r="K12" s="86"/>
      <c r="L12" s="72"/>
    </row>
    <row r="13" spans="1:12" ht="24.95" customHeight="1" thickBot="1" x14ac:dyDescent="0.25">
      <c r="A13" s="53">
        <v>0.33333333333333331</v>
      </c>
      <c r="B13" s="42">
        <v>2.6</v>
      </c>
      <c r="C13" s="44"/>
      <c r="D13" s="42">
        <v>4.58</v>
      </c>
      <c r="E13" s="44"/>
      <c r="F13" s="63">
        <v>6.34</v>
      </c>
      <c r="G13" s="64"/>
      <c r="H13" s="107"/>
      <c r="I13" s="61">
        <v>5.4</v>
      </c>
      <c r="J13" s="62"/>
      <c r="K13" s="39">
        <v>94.6</v>
      </c>
      <c r="L13" s="39">
        <v>0</v>
      </c>
    </row>
    <row r="14" spans="1:12" ht="24.95" customHeight="1" thickBot="1" x14ac:dyDescent="0.25">
      <c r="A14" s="54"/>
      <c r="B14" s="48"/>
      <c r="C14" s="50"/>
      <c r="D14" s="48"/>
      <c r="E14" s="50"/>
      <c r="F14" s="65"/>
      <c r="G14" s="66"/>
      <c r="H14" s="108"/>
      <c r="I14" s="3">
        <v>1.6</v>
      </c>
      <c r="J14" s="28">
        <v>3.8</v>
      </c>
      <c r="K14" s="40"/>
      <c r="L14" s="40"/>
    </row>
    <row r="15" spans="1:12" ht="24.95" customHeight="1" thickBot="1" x14ac:dyDescent="0.25">
      <c r="A15" s="53">
        <v>0.41666666666666669</v>
      </c>
      <c r="B15" s="42"/>
      <c r="C15" s="44"/>
      <c r="D15" s="42"/>
      <c r="E15" s="44"/>
      <c r="F15" s="63">
        <v>8.5500000000000007</v>
      </c>
      <c r="G15" s="64"/>
      <c r="H15" s="107"/>
      <c r="I15" s="61">
        <v>3.8</v>
      </c>
      <c r="J15" s="62"/>
      <c r="K15" s="39">
        <v>96.2</v>
      </c>
      <c r="L15" s="39">
        <v>0</v>
      </c>
    </row>
    <row r="16" spans="1:12" ht="24.95" customHeight="1" thickBot="1" x14ac:dyDescent="0.25">
      <c r="A16" s="54"/>
      <c r="B16" s="48"/>
      <c r="C16" s="50"/>
      <c r="D16" s="48"/>
      <c r="E16" s="50"/>
      <c r="F16" s="65"/>
      <c r="G16" s="66"/>
      <c r="H16" s="108"/>
      <c r="I16" s="3">
        <v>1.9</v>
      </c>
      <c r="J16" s="28">
        <v>1.9</v>
      </c>
      <c r="K16" s="40"/>
      <c r="L16" s="40"/>
    </row>
    <row r="17" spans="1:12" ht="24.95" customHeight="1" thickBot="1" x14ac:dyDescent="0.25">
      <c r="A17" s="53">
        <v>0.5</v>
      </c>
      <c r="B17" s="42">
        <v>6.36</v>
      </c>
      <c r="C17" s="44"/>
      <c r="D17" s="42">
        <v>1.39</v>
      </c>
      <c r="E17" s="44"/>
      <c r="F17" s="63"/>
      <c r="G17" s="64"/>
      <c r="H17" s="30"/>
      <c r="I17" s="61"/>
      <c r="J17" s="62"/>
      <c r="K17" s="39"/>
      <c r="L17" s="39"/>
    </row>
    <row r="18" spans="1:12" ht="24.95" customHeight="1" thickBot="1" x14ac:dyDescent="0.25">
      <c r="A18" s="54"/>
      <c r="B18" s="48"/>
      <c r="C18" s="50"/>
      <c r="D18" s="48"/>
      <c r="E18" s="50"/>
      <c r="F18" s="65"/>
      <c r="G18" s="66"/>
      <c r="H18" s="10"/>
      <c r="I18" s="3"/>
      <c r="J18" s="38"/>
      <c r="K18" s="40"/>
      <c r="L18" s="40"/>
    </row>
    <row r="19" spans="1:12" ht="24.95" customHeight="1" thickBot="1" x14ac:dyDescent="0.25">
      <c r="A19" s="53">
        <v>0.58333333333333337</v>
      </c>
      <c r="B19" s="42"/>
      <c r="C19" s="43"/>
      <c r="D19" s="43"/>
      <c r="E19" s="44"/>
      <c r="F19" s="63">
        <v>13.04</v>
      </c>
      <c r="G19" s="64"/>
      <c r="H19" s="107"/>
      <c r="I19" s="61">
        <v>4.4000000000000004</v>
      </c>
      <c r="J19" s="62"/>
      <c r="K19" s="39">
        <v>95.6</v>
      </c>
      <c r="L19" s="39">
        <v>0</v>
      </c>
    </row>
    <row r="20" spans="1:12" ht="24.95" customHeight="1" thickBot="1" x14ac:dyDescent="0.25">
      <c r="A20" s="54"/>
      <c r="B20" s="48"/>
      <c r="C20" s="49"/>
      <c r="D20" s="49"/>
      <c r="E20" s="50"/>
      <c r="F20" s="65"/>
      <c r="G20" s="66"/>
      <c r="H20" s="108"/>
      <c r="I20" s="3">
        <v>2.1</v>
      </c>
      <c r="J20" s="28">
        <v>2.2999999999999998</v>
      </c>
      <c r="K20" s="40"/>
      <c r="L20" s="40"/>
    </row>
    <row r="21" spans="1:12" ht="50.1" customHeight="1" thickBot="1" x14ac:dyDescent="0.25">
      <c r="A21" s="1">
        <v>0.66666666666666663</v>
      </c>
      <c r="B21" s="41">
        <v>5.66</v>
      </c>
      <c r="C21" s="41"/>
      <c r="D21" s="41">
        <v>4.37</v>
      </c>
      <c r="E21" s="41"/>
      <c r="F21" s="42"/>
      <c r="G21" s="43"/>
      <c r="H21" s="43"/>
      <c r="I21" s="43"/>
      <c r="J21" s="43"/>
      <c r="K21" s="43"/>
      <c r="L21" s="44"/>
    </row>
    <row r="22" spans="1:12" ht="50.1" customHeight="1" thickBot="1" x14ac:dyDescent="0.25">
      <c r="A22" s="1">
        <v>0.83333333333333337</v>
      </c>
      <c r="B22" s="41">
        <v>2.5099999999999998</v>
      </c>
      <c r="C22" s="41"/>
      <c r="D22" s="41">
        <v>3.94</v>
      </c>
      <c r="E22" s="41"/>
      <c r="F22" s="45"/>
      <c r="G22" s="46"/>
      <c r="H22" s="46"/>
      <c r="I22" s="46"/>
      <c r="J22" s="46"/>
      <c r="K22" s="46"/>
      <c r="L22" s="47"/>
    </row>
    <row r="23" spans="1:12" ht="50.1" customHeight="1" thickBot="1" x14ac:dyDescent="0.25">
      <c r="A23" s="1">
        <v>1</v>
      </c>
      <c r="B23" s="51">
        <v>4.5199999999999996</v>
      </c>
      <c r="C23" s="52"/>
      <c r="D23" s="51">
        <v>5.13</v>
      </c>
      <c r="E23" s="52"/>
      <c r="F23" s="45"/>
      <c r="G23" s="46"/>
      <c r="H23" s="46"/>
      <c r="I23" s="46"/>
      <c r="J23" s="46"/>
      <c r="K23" s="46"/>
      <c r="L23" s="47"/>
    </row>
    <row r="24" spans="1:12" ht="50.1" customHeight="1" thickBot="1" x14ac:dyDescent="0.25">
      <c r="A24" s="1">
        <v>0.16666666666666666</v>
      </c>
      <c r="B24" s="41">
        <v>3.98</v>
      </c>
      <c r="C24" s="41"/>
      <c r="D24" s="41">
        <v>1.31</v>
      </c>
      <c r="E24" s="41"/>
      <c r="F24" s="48"/>
      <c r="G24" s="49"/>
      <c r="H24" s="49"/>
      <c r="I24" s="49"/>
      <c r="J24" s="49"/>
      <c r="K24" s="49"/>
      <c r="L24" s="50"/>
    </row>
  </sheetData>
  <mergeCells count="68">
    <mergeCell ref="B19:E20"/>
    <mergeCell ref="F19:H20"/>
    <mergeCell ref="I19:J19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  <mergeCell ref="L19:L20"/>
    <mergeCell ref="K17:K18"/>
    <mergeCell ref="L17:L18"/>
    <mergeCell ref="A15:A16"/>
    <mergeCell ref="B15:C16"/>
    <mergeCell ref="D15:E16"/>
    <mergeCell ref="F15:H16"/>
    <mergeCell ref="I15:J15"/>
    <mergeCell ref="K15:K16"/>
    <mergeCell ref="A17:A18"/>
    <mergeCell ref="B17:C18"/>
    <mergeCell ref="D17:E18"/>
    <mergeCell ref="F17:G18"/>
    <mergeCell ref="I17:J17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</mergeCells>
  <conditionalFormatting sqref="D9">
    <cfRule type="cellIs" dxfId="95" priority="25" operator="greaterThan">
      <formula>7</formula>
    </cfRule>
  </conditionalFormatting>
  <conditionalFormatting sqref="F9">
    <cfRule type="cellIs" dxfId="94" priority="24" operator="greaterThan">
      <formula>20</formula>
    </cfRule>
  </conditionalFormatting>
  <conditionalFormatting sqref="H9:J10">
    <cfRule type="cellIs" dxfId="93" priority="23" operator="lessThan">
      <formula>80</formula>
    </cfRule>
  </conditionalFormatting>
  <conditionalFormatting sqref="K9:L10">
    <cfRule type="cellIs" dxfId="92" priority="22" operator="greaterThan">
      <formula>0</formula>
    </cfRule>
  </conditionalFormatting>
  <conditionalFormatting sqref="B24:E24 B23 D23 B22:E22 B21:F21 B15 B19 D13 B13">
    <cfRule type="cellIs" dxfId="91" priority="21" operator="greaterThan">
      <formula>7</formula>
    </cfRule>
  </conditionalFormatting>
  <conditionalFormatting sqref="I15 I13">
    <cfRule type="cellIs" dxfId="90" priority="20" operator="greaterThan">
      <formula>20</formula>
    </cfRule>
  </conditionalFormatting>
  <conditionalFormatting sqref="K15 K13">
    <cfRule type="cellIs" dxfId="89" priority="19" stopIfTrue="1" operator="lessThan">
      <formula>80</formula>
    </cfRule>
  </conditionalFormatting>
  <conditionalFormatting sqref="L15 L13">
    <cfRule type="cellIs" dxfId="88" priority="18" operator="greaterThan">
      <formula>0</formula>
    </cfRule>
  </conditionalFormatting>
  <conditionalFormatting sqref="F15 F19 F13">
    <cfRule type="cellIs" dxfId="87" priority="17" stopIfTrue="1" operator="greaterThan">
      <formula>10</formula>
    </cfRule>
  </conditionalFormatting>
  <conditionalFormatting sqref="K19">
    <cfRule type="cellIs" dxfId="86" priority="16" stopIfTrue="1" operator="lessThan">
      <formula>80</formula>
    </cfRule>
  </conditionalFormatting>
  <conditionalFormatting sqref="I14:J14">
    <cfRule type="cellIs" dxfId="85" priority="15" operator="greaterThan">
      <formula>20</formula>
    </cfRule>
  </conditionalFormatting>
  <conditionalFormatting sqref="J16">
    <cfRule type="cellIs" dxfId="84" priority="14" operator="greaterThan">
      <formula>20</formula>
    </cfRule>
  </conditionalFormatting>
  <conditionalFormatting sqref="I16:I17">
    <cfRule type="cellIs" dxfId="83" priority="13" operator="greaterThan">
      <formula>20</formula>
    </cfRule>
  </conditionalFormatting>
  <conditionalFormatting sqref="I18">
    <cfRule type="cellIs" dxfId="82" priority="12" operator="greaterThan">
      <formula>20</formula>
    </cfRule>
  </conditionalFormatting>
  <conditionalFormatting sqref="I19">
    <cfRule type="cellIs" dxfId="81" priority="11" operator="greaterThan">
      <formula>20</formula>
    </cfRule>
  </conditionalFormatting>
  <conditionalFormatting sqref="I20">
    <cfRule type="cellIs" dxfId="80" priority="10" operator="greaterThan">
      <formula>20</formula>
    </cfRule>
  </conditionalFormatting>
  <conditionalFormatting sqref="J20">
    <cfRule type="cellIs" dxfId="79" priority="9" operator="greaterThan">
      <formula>20</formula>
    </cfRule>
  </conditionalFormatting>
  <conditionalFormatting sqref="D15">
    <cfRule type="cellIs" dxfId="78" priority="8" operator="greaterThan">
      <formula>7</formula>
    </cfRule>
  </conditionalFormatting>
  <conditionalFormatting sqref="D17">
    <cfRule type="cellIs" dxfId="77" priority="7" operator="greaterThan">
      <formula>7</formula>
    </cfRule>
  </conditionalFormatting>
  <conditionalFormatting sqref="B17">
    <cfRule type="cellIs" dxfId="76" priority="6" operator="greaterThan">
      <formula>7</formula>
    </cfRule>
  </conditionalFormatting>
  <conditionalFormatting sqref="L17">
    <cfRule type="cellIs" dxfId="75" priority="4" operator="greaterThan">
      <formula>0</formula>
    </cfRule>
  </conditionalFormatting>
  <conditionalFormatting sqref="L19">
    <cfRule type="cellIs" dxfId="74" priority="3" operator="greaterThan">
      <formula>0</formula>
    </cfRule>
  </conditionalFormatting>
  <conditionalFormatting sqref="F17">
    <cfRule type="cellIs" dxfId="73" priority="2" stopIfTrue="1" operator="greaterThan">
      <formula>10</formula>
    </cfRule>
  </conditionalFormatting>
  <conditionalFormatting sqref="K17">
    <cfRule type="cellIs" dxfId="72" priority="1" operator="greaterThan">
      <formula>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view="pageBreakPreview" topLeftCell="A16" zoomScale="60" zoomScaleNormal="100" zoomScalePageLayoutView="80" workbookViewId="0">
      <selection activeCell="H9" sqref="H9:J10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100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2"/>
    </row>
    <row r="2" spans="1:12" ht="40.5" customHeight="1" x14ac:dyDescent="0.2">
      <c r="A2" s="103" t="s">
        <v>25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5"/>
    </row>
    <row r="3" spans="1:12" ht="40.5" customHeight="1" x14ac:dyDescent="0.2">
      <c r="A3" s="106" t="s">
        <v>24</v>
      </c>
      <c r="B3" s="106"/>
      <c r="C3" s="106" t="s">
        <v>23</v>
      </c>
      <c r="D3" s="106"/>
      <c r="E3" s="106" t="s">
        <v>22</v>
      </c>
      <c r="F3" s="106"/>
      <c r="G3" s="106"/>
      <c r="H3" s="106" t="s">
        <v>21</v>
      </c>
      <c r="I3" s="106"/>
      <c r="J3" s="106"/>
      <c r="K3" s="106" t="s">
        <v>20</v>
      </c>
      <c r="L3" s="106"/>
    </row>
    <row r="4" spans="1:12" ht="40.5" customHeight="1" x14ac:dyDescent="0.2">
      <c r="A4" s="91">
        <v>48527531</v>
      </c>
      <c r="B4" s="91"/>
      <c r="C4" s="91"/>
      <c r="D4" s="91"/>
      <c r="E4" s="91" t="s">
        <v>55</v>
      </c>
      <c r="F4" s="91"/>
      <c r="G4" s="91"/>
      <c r="H4" s="91" t="s">
        <v>19</v>
      </c>
      <c r="I4" s="91"/>
      <c r="J4" s="91"/>
      <c r="K4" s="92" t="s">
        <v>18</v>
      </c>
      <c r="L4" s="92"/>
    </row>
    <row r="5" spans="1:12" ht="40.5" customHeight="1" thickBot="1" x14ac:dyDescent="0.25">
      <c r="A5" s="97" t="s">
        <v>17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67" t="s">
        <v>16</v>
      </c>
      <c r="B7" s="93" t="s">
        <v>15</v>
      </c>
      <c r="C7" s="94"/>
      <c r="D7" s="87" t="s">
        <v>14</v>
      </c>
      <c r="E7" s="87"/>
      <c r="F7" s="89" t="s">
        <v>13</v>
      </c>
      <c r="G7" s="90"/>
      <c r="H7" s="87" t="s">
        <v>12</v>
      </c>
      <c r="I7" s="87"/>
      <c r="J7" s="87"/>
      <c r="K7" s="69" t="s">
        <v>11</v>
      </c>
      <c r="L7" s="70"/>
    </row>
    <row r="8" spans="1:12" ht="24.95" customHeight="1" thickBot="1" x14ac:dyDescent="0.25">
      <c r="A8" s="68"/>
      <c r="B8" s="95"/>
      <c r="C8" s="96"/>
      <c r="D8" s="88"/>
      <c r="E8" s="88"/>
      <c r="F8" s="5" t="s">
        <v>10</v>
      </c>
      <c r="G8" s="5" t="s">
        <v>9</v>
      </c>
      <c r="H8" s="88"/>
      <c r="I8" s="88"/>
      <c r="J8" s="88"/>
      <c r="K8" s="71"/>
      <c r="L8" s="72"/>
    </row>
    <row r="9" spans="1:12" ht="24.95" customHeight="1" thickBot="1" x14ac:dyDescent="0.25">
      <c r="A9" s="73">
        <v>813.7</v>
      </c>
      <c r="B9" s="75">
        <v>21</v>
      </c>
      <c r="C9" s="76"/>
      <c r="D9" s="42">
        <f>AVERAGE(B13:E26)</f>
        <v>3.833076923076923</v>
      </c>
      <c r="E9" s="44"/>
      <c r="F9" s="61">
        <v>4.5999999999999996</v>
      </c>
      <c r="G9" s="62"/>
      <c r="H9" s="79">
        <v>95.4</v>
      </c>
      <c r="I9" s="80"/>
      <c r="J9" s="81"/>
      <c r="K9" s="79">
        <f>AVERAGE(L13,L15,L17,L21)</f>
        <v>0</v>
      </c>
      <c r="L9" s="81"/>
    </row>
    <row r="10" spans="1:12" ht="24.95" customHeight="1" thickBot="1" x14ac:dyDescent="0.25">
      <c r="A10" s="74"/>
      <c r="B10" s="77"/>
      <c r="C10" s="78"/>
      <c r="D10" s="48"/>
      <c r="E10" s="50"/>
      <c r="F10" s="3">
        <f>AVERAGE(I14,I16,I18,I22)</f>
        <v>2.0333333333333332</v>
      </c>
      <c r="G10" s="3">
        <f>AVERAGE(J14,J16,J18,J22)</f>
        <v>2.6333333333333333</v>
      </c>
      <c r="H10" s="82"/>
      <c r="I10" s="83"/>
      <c r="J10" s="84"/>
      <c r="K10" s="82"/>
      <c r="L10" s="84"/>
    </row>
    <row r="11" spans="1:12" ht="24.95" customHeight="1" thickBot="1" x14ac:dyDescent="0.25">
      <c r="A11" s="67" t="s">
        <v>8</v>
      </c>
      <c r="B11" s="69" t="s">
        <v>7</v>
      </c>
      <c r="C11" s="70"/>
      <c r="D11" s="69" t="s">
        <v>6</v>
      </c>
      <c r="E11" s="70"/>
      <c r="F11" s="69" t="s">
        <v>5</v>
      </c>
      <c r="G11" s="87"/>
      <c r="H11" s="70"/>
      <c r="I11" s="89" t="s">
        <v>4</v>
      </c>
      <c r="J11" s="90"/>
      <c r="K11" s="85" t="s">
        <v>3</v>
      </c>
      <c r="L11" s="70" t="s">
        <v>2</v>
      </c>
    </row>
    <row r="12" spans="1:12" ht="24.95" customHeight="1" thickBot="1" x14ac:dyDescent="0.25">
      <c r="A12" s="68"/>
      <c r="B12" s="71"/>
      <c r="C12" s="72"/>
      <c r="D12" s="71"/>
      <c r="E12" s="72"/>
      <c r="F12" s="71"/>
      <c r="G12" s="88"/>
      <c r="H12" s="72"/>
      <c r="I12" s="5" t="s">
        <v>1</v>
      </c>
      <c r="J12" s="29" t="s">
        <v>0</v>
      </c>
      <c r="K12" s="86"/>
      <c r="L12" s="72"/>
    </row>
    <row r="13" spans="1:12" ht="24.95" customHeight="1" thickBot="1" x14ac:dyDescent="0.25">
      <c r="A13" s="53">
        <v>0.33333333333333331</v>
      </c>
      <c r="B13" s="42">
        <v>6.37</v>
      </c>
      <c r="C13" s="44"/>
      <c r="D13" s="42">
        <v>2.58</v>
      </c>
      <c r="E13" s="44"/>
      <c r="F13" s="63">
        <v>8.94</v>
      </c>
      <c r="G13" s="64"/>
      <c r="H13" s="107"/>
      <c r="I13" s="61">
        <v>4.8</v>
      </c>
      <c r="J13" s="62"/>
      <c r="K13" s="39">
        <v>95.2</v>
      </c>
      <c r="L13" s="39">
        <v>0</v>
      </c>
    </row>
    <row r="14" spans="1:12" ht="24.95" customHeight="1" thickBot="1" x14ac:dyDescent="0.25">
      <c r="A14" s="54"/>
      <c r="B14" s="48"/>
      <c r="C14" s="50"/>
      <c r="D14" s="48"/>
      <c r="E14" s="50"/>
      <c r="F14" s="65"/>
      <c r="G14" s="66"/>
      <c r="H14" s="108"/>
      <c r="I14" s="3">
        <v>2.2000000000000002</v>
      </c>
      <c r="J14" s="28">
        <v>2.6</v>
      </c>
      <c r="K14" s="40"/>
      <c r="L14" s="40"/>
    </row>
    <row r="15" spans="1:12" ht="24.95" customHeight="1" thickBot="1" x14ac:dyDescent="0.25">
      <c r="A15" s="53">
        <v>0.41666666666666669</v>
      </c>
      <c r="B15" s="42"/>
      <c r="C15" s="44"/>
      <c r="D15" s="42"/>
      <c r="E15" s="44"/>
      <c r="F15" s="63">
        <v>10.44</v>
      </c>
      <c r="G15" s="64"/>
      <c r="H15" s="107"/>
      <c r="I15" s="61">
        <v>4.7</v>
      </c>
      <c r="J15" s="62"/>
      <c r="K15" s="39">
        <v>95.3</v>
      </c>
      <c r="L15" s="39">
        <v>0</v>
      </c>
    </row>
    <row r="16" spans="1:12" ht="24.95" customHeight="1" thickBot="1" x14ac:dyDescent="0.25">
      <c r="A16" s="54"/>
      <c r="B16" s="48"/>
      <c r="C16" s="50"/>
      <c r="D16" s="48"/>
      <c r="E16" s="50"/>
      <c r="F16" s="65"/>
      <c r="G16" s="66"/>
      <c r="H16" s="108"/>
      <c r="I16" s="3">
        <v>2</v>
      </c>
      <c r="J16" s="28">
        <v>2.7</v>
      </c>
      <c r="K16" s="40"/>
      <c r="L16" s="40"/>
    </row>
    <row r="17" spans="1:12" ht="24.95" customHeight="1" thickBot="1" x14ac:dyDescent="0.25">
      <c r="A17" s="53">
        <v>0.5</v>
      </c>
      <c r="B17" s="42">
        <v>9.7799999999999994</v>
      </c>
      <c r="C17" s="44"/>
      <c r="D17" s="42">
        <v>1.91</v>
      </c>
      <c r="E17" s="44"/>
      <c r="F17" s="63"/>
      <c r="G17" s="64"/>
      <c r="H17" s="30"/>
      <c r="I17" s="79"/>
      <c r="J17" s="81"/>
      <c r="K17" s="79"/>
      <c r="L17" s="81"/>
    </row>
    <row r="18" spans="1:12" ht="24.95" customHeight="1" thickBot="1" x14ac:dyDescent="0.25">
      <c r="A18" s="54"/>
      <c r="B18" s="48"/>
      <c r="C18" s="50"/>
      <c r="D18" s="48"/>
      <c r="E18" s="50"/>
      <c r="F18" s="65"/>
      <c r="G18" s="66"/>
      <c r="H18" s="10"/>
      <c r="I18" s="82"/>
      <c r="J18" s="84"/>
      <c r="K18" s="82"/>
      <c r="L18" s="84"/>
    </row>
    <row r="19" spans="1:12" ht="24.95" customHeight="1" thickBot="1" x14ac:dyDescent="0.25">
      <c r="A19" s="53">
        <v>0.52083333333333337</v>
      </c>
      <c r="B19" s="42">
        <v>3.08</v>
      </c>
      <c r="C19" s="44"/>
      <c r="D19" s="121"/>
      <c r="E19" s="122"/>
      <c r="F19" s="63"/>
      <c r="G19" s="64"/>
      <c r="H19" s="37"/>
      <c r="I19" s="79"/>
      <c r="J19" s="81"/>
      <c r="K19" s="79"/>
      <c r="L19" s="81"/>
    </row>
    <row r="20" spans="1:12" ht="24.95" customHeight="1" thickBot="1" x14ac:dyDescent="0.25">
      <c r="A20" s="54"/>
      <c r="B20" s="48"/>
      <c r="C20" s="50"/>
      <c r="D20" s="123"/>
      <c r="E20" s="124"/>
      <c r="F20" s="65"/>
      <c r="G20" s="66"/>
      <c r="H20" s="37"/>
      <c r="I20" s="82"/>
      <c r="J20" s="84"/>
      <c r="K20" s="82"/>
      <c r="L20" s="84"/>
    </row>
    <row r="21" spans="1:12" ht="24.95" customHeight="1" thickBot="1" x14ac:dyDescent="0.25">
      <c r="A21" s="53">
        <v>0.58333333333333337</v>
      </c>
      <c r="B21" s="42"/>
      <c r="C21" s="43"/>
      <c r="D21" s="43"/>
      <c r="E21" s="44"/>
      <c r="F21" s="63">
        <v>2.4500000000000002</v>
      </c>
      <c r="G21" s="64"/>
      <c r="H21" s="107"/>
      <c r="I21" s="61">
        <v>4.5</v>
      </c>
      <c r="J21" s="62"/>
      <c r="K21" s="39">
        <v>95.5</v>
      </c>
      <c r="L21" s="39">
        <v>0</v>
      </c>
    </row>
    <row r="22" spans="1:12" ht="24.95" customHeight="1" thickBot="1" x14ac:dyDescent="0.25">
      <c r="A22" s="54"/>
      <c r="B22" s="48"/>
      <c r="C22" s="49"/>
      <c r="D22" s="49"/>
      <c r="E22" s="50"/>
      <c r="F22" s="65"/>
      <c r="G22" s="66"/>
      <c r="H22" s="108"/>
      <c r="I22" s="3">
        <v>1.9</v>
      </c>
      <c r="J22" s="28">
        <v>2.6</v>
      </c>
      <c r="K22" s="40"/>
      <c r="L22" s="40"/>
    </row>
    <row r="23" spans="1:12" ht="50.1" customHeight="1" thickBot="1" x14ac:dyDescent="0.25">
      <c r="A23" s="1">
        <v>0.66666666666666663</v>
      </c>
      <c r="B23" s="41">
        <v>3.57</v>
      </c>
      <c r="C23" s="41"/>
      <c r="D23" s="41">
        <v>5.54</v>
      </c>
      <c r="E23" s="41"/>
      <c r="F23" s="42"/>
      <c r="G23" s="43"/>
      <c r="H23" s="43"/>
      <c r="I23" s="43"/>
      <c r="J23" s="43"/>
      <c r="K23" s="43"/>
      <c r="L23" s="44"/>
    </row>
    <row r="24" spans="1:12" ht="50.1" customHeight="1" thickBot="1" x14ac:dyDescent="0.25">
      <c r="A24" s="1">
        <v>0.83333333333333337</v>
      </c>
      <c r="B24" s="41">
        <v>2.04</v>
      </c>
      <c r="C24" s="41"/>
      <c r="D24" s="41">
        <v>3.57</v>
      </c>
      <c r="E24" s="41"/>
      <c r="F24" s="45"/>
      <c r="G24" s="46"/>
      <c r="H24" s="46"/>
      <c r="I24" s="46"/>
      <c r="J24" s="46"/>
      <c r="K24" s="46"/>
      <c r="L24" s="47"/>
    </row>
    <row r="25" spans="1:12" ht="50.1" customHeight="1" thickBot="1" x14ac:dyDescent="0.25">
      <c r="A25" s="1">
        <v>1</v>
      </c>
      <c r="B25" s="51">
        <v>3.72</v>
      </c>
      <c r="C25" s="52"/>
      <c r="D25" s="51">
        <v>3.16</v>
      </c>
      <c r="E25" s="52"/>
      <c r="F25" s="45"/>
      <c r="G25" s="46"/>
      <c r="H25" s="46"/>
      <c r="I25" s="46"/>
      <c r="J25" s="46"/>
      <c r="K25" s="46"/>
      <c r="L25" s="47"/>
    </row>
    <row r="26" spans="1:12" ht="50.1" customHeight="1" thickBot="1" x14ac:dyDescent="0.25">
      <c r="A26" s="1">
        <v>0.16666666666666666</v>
      </c>
      <c r="B26" s="41">
        <v>3.17</v>
      </c>
      <c r="C26" s="41"/>
      <c r="D26" s="41">
        <v>1.34</v>
      </c>
      <c r="E26" s="41"/>
      <c r="F26" s="48"/>
      <c r="G26" s="49"/>
      <c r="H26" s="49"/>
      <c r="I26" s="49"/>
      <c r="J26" s="49"/>
      <c r="K26" s="49"/>
      <c r="L26" s="50"/>
    </row>
  </sheetData>
  <mergeCells count="73">
    <mergeCell ref="K17:L18"/>
    <mergeCell ref="I17:J18"/>
    <mergeCell ref="A19:A20"/>
    <mergeCell ref="B19:C20"/>
    <mergeCell ref="D19:E20"/>
    <mergeCell ref="A21:A22"/>
    <mergeCell ref="F19:G20"/>
    <mergeCell ref="I21:J21"/>
    <mergeCell ref="I19:J20"/>
    <mergeCell ref="K19:L20"/>
    <mergeCell ref="K21:K22"/>
    <mergeCell ref="L21:L22"/>
    <mergeCell ref="B21:E22"/>
    <mergeCell ref="F21:H22"/>
    <mergeCell ref="B23:C23"/>
    <mergeCell ref="D23:E23"/>
    <mergeCell ref="F23:L26"/>
    <mergeCell ref="B24:C24"/>
    <mergeCell ref="D24:E24"/>
    <mergeCell ref="B25:C25"/>
    <mergeCell ref="D25:E25"/>
    <mergeCell ref="B26:C26"/>
    <mergeCell ref="D26:E26"/>
    <mergeCell ref="K11:K12"/>
    <mergeCell ref="K15:K16"/>
    <mergeCell ref="A17:A18"/>
    <mergeCell ref="B17:C18"/>
    <mergeCell ref="D17:E18"/>
    <mergeCell ref="F17:G18"/>
    <mergeCell ref="A15:A16"/>
    <mergeCell ref="B15:C16"/>
    <mergeCell ref="D15:E16"/>
    <mergeCell ref="F15:H16"/>
    <mergeCell ref="I15:J15"/>
    <mergeCell ref="A11:A12"/>
    <mergeCell ref="B11:C12"/>
    <mergeCell ref="D11:E12"/>
    <mergeCell ref="F11:H12"/>
    <mergeCell ref="I11:J11"/>
    <mergeCell ref="D13:E14"/>
    <mergeCell ref="F13:H14"/>
    <mergeCell ref="I13:J13"/>
    <mergeCell ref="K13:K14"/>
    <mergeCell ref="L13:L14"/>
    <mergeCell ref="L15:L16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L11:L12"/>
    <mergeCell ref="A13:A14"/>
    <mergeCell ref="B13:C14"/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</mergeCells>
  <conditionalFormatting sqref="D9">
    <cfRule type="cellIs" dxfId="71" priority="26" operator="greaterThan">
      <formula>7</formula>
    </cfRule>
  </conditionalFormatting>
  <conditionalFormatting sqref="F9">
    <cfRule type="cellIs" dxfId="70" priority="25" operator="greaterThan">
      <formula>20</formula>
    </cfRule>
  </conditionalFormatting>
  <conditionalFormatting sqref="H9:J10">
    <cfRule type="cellIs" dxfId="69" priority="24" operator="lessThan">
      <formula>80</formula>
    </cfRule>
  </conditionalFormatting>
  <conditionalFormatting sqref="K9:L10">
    <cfRule type="cellIs" dxfId="68" priority="23" operator="greaterThan">
      <formula>0</formula>
    </cfRule>
  </conditionalFormatting>
  <conditionalFormatting sqref="B26:E26 B25 D25 B24:E24 B23:F23 B15 B21 D13 B13">
    <cfRule type="cellIs" dxfId="67" priority="22" operator="greaterThan">
      <formula>7</formula>
    </cfRule>
  </conditionalFormatting>
  <conditionalFormatting sqref="I15 I13">
    <cfRule type="cellIs" dxfId="66" priority="21" operator="greaterThan">
      <formula>20</formula>
    </cfRule>
  </conditionalFormatting>
  <conditionalFormatting sqref="K15 K13">
    <cfRule type="cellIs" dxfId="65" priority="20" stopIfTrue="1" operator="lessThan">
      <formula>80</formula>
    </cfRule>
  </conditionalFormatting>
  <conditionalFormatting sqref="L15 L13">
    <cfRule type="cellIs" dxfId="64" priority="19" operator="greaterThan">
      <formula>0</formula>
    </cfRule>
  </conditionalFormatting>
  <conditionalFormatting sqref="F15 F21 F13">
    <cfRule type="cellIs" dxfId="63" priority="18" stopIfTrue="1" operator="greaterThan">
      <formula>10</formula>
    </cfRule>
  </conditionalFormatting>
  <conditionalFormatting sqref="K21">
    <cfRule type="cellIs" dxfId="62" priority="17" stopIfTrue="1" operator="lessThan">
      <formula>80</formula>
    </cfRule>
  </conditionalFormatting>
  <conditionalFormatting sqref="I14:J14">
    <cfRule type="cellIs" dxfId="61" priority="16" operator="greaterThan">
      <formula>20</formula>
    </cfRule>
  </conditionalFormatting>
  <conditionalFormatting sqref="J16">
    <cfRule type="cellIs" dxfId="60" priority="15" operator="greaterThan">
      <formula>20</formula>
    </cfRule>
  </conditionalFormatting>
  <conditionalFormatting sqref="I16:I17">
    <cfRule type="cellIs" dxfId="59" priority="14" operator="greaterThan">
      <formula>20</formula>
    </cfRule>
  </conditionalFormatting>
  <conditionalFormatting sqref="I19">
    <cfRule type="cellIs" dxfId="58" priority="13" operator="greaterThan">
      <formula>20</formula>
    </cfRule>
  </conditionalFormatting>
  <conditionalFormatting sqref="I21">
    <cfRule type="cellIs" dxfId="57" priority="12" operator="greaterThan">
      <formula>20</formula>
    </cfRule>
  </conditionalFormatting>
  <conditionalFormatting sqref="I22">
    <cfRule type="cellIs" dxfId="56" priority="11" operator="greaterThan">
      <formula>20</formula>
    </cfRule>
  </conditionalFormatting>
  <conditionalFormatting sqref="J22">
    <cfRule type="cellIs" dxfId="55" priority="10" operator="greaterThan">
      <formula>20</formula>
    </cfRule>
  </conditionalFormatting>
  <conditionalFormatting sqref="D15">
    <cfRule type="cellIs" dxfId="54" priority="9" operator="greaterThan">
      <formula>7</formula>
    </cfRule>
  </conditionalFormatting>
  <conditionalFormatting sqref="D17">
    <cfRule type="cellIs" dxfId="53" priority="8" operator="greaterThan">
      <formula>7</formula>
    </cfRule>
  </conditionalFormatting>
  <conditionalFormatting sqref="B17">
    <cfRule type="cellIs" dxfId="52" priority="7" operator="greaterThan">
      <formula>7</formula>
    </cfRule>
  </conditionalFormatting>
  <conditionalFormatting sqref="L21">
    <cfRule type="cellIs" dxfId="51" priority="4" operator="greaterThan">
      <formula>0</formula>
    </cfRule>
  </conditionalFormatting>
  <conditionalFormatting sqref="F17">
    <cfRule type="cellIs" dxfId="50" priority="3" stopIfTrue="1" operator="greaterThan">
      <formula>10</formula>
    </cfRule>
  </conditionalFormatting>
  <conditionalFormatting sqref="B19">
    <cfRule type="cellIs" dxfId="49" priority="2" operator="greaterThan">
      <formula>7</formula>
    </cfRule>
  </conditionalFormatting>
  <conditionalFormatting sqref="K17">
    <cfRule type="cellIs" dxfId="48" priority="1" operator="greaterThan">
      <formula>20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topLeftCell="A10" zoomScale="80" zoomScaleNormal="100" zoomScaleSheetLayoutView="80" zoomScalePageLayoutView="80" workbookViewId="0">
      <selection activeCell="H9" sqref="H9:J10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100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2"/>
    </row>
    <row r="2" spans="1:12" ht="40.5" customHeight="1" x14ac:dyDescent="0.2">
      <c r="A2" s="103" t="s">
        <v>25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5"/>
    </row>
    <row r="3" spans="1:12" ht="40.5" customHeight="1" x14ac:dyDescent="0.2">
      <c r="A3" s="106" t="s">
        <v>24</v>
      </c>
      <c r="B3" s="106"/>
      <c r="C3" s="106" t="s">
        <v>23</v>
      </c>
      <c r="D3" s="106"/>
      <c r="E3" s="106" t="s">
        <v>22</v>
      </c>
      <c r="F3" s="106"/>
      <c r="G3" s="106"/>
      <c r="H3" s="106" t="s">
        <v>21</v>
      </c>
      <c r="I3" s="106"/>
      <c r="J3" s="106"/>
      <c r="K3" s="106" t="s">
        <v>20</v>
      </c>
      <c r="L3" s="106"/>
    </row>
    <row r="4" spans="1:12" ht="40.5" customHeight="1" x14ac:dyDescent="0.2">
      <c r="A4" s="91">
        <v>48527531</v>
      </c>
      <c r="B4" s="91"/>
      <c r="C4" s="91"/>
      <c r="D4" s="91"/>
      <c r="E4" s="91" t="s">
        <v>56</v>
      </c>
      <c r="F4" s="91"/>
      <c r="G4" s="91"/>
      <c r="H4" s="91" t="s">
        <v>19</v>
      </c>
      <c r="I4" s="91"/>
      <c r="J4" s="91"/>
      <c r="K4" s="92" t="s">
        <v>18</v>
      </c>
      <c r="L4" s="92"/>
    </row>
    <row r="5" spans="1:12" ht="40.5" customHeight="1" thickBot="1" x14ac:dyDescent="0.25">
      <c r="A5" s="97" t="s">
        <v>17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67" t="s">
        <v>16</v>
      </c>
      <c r="B7" s="93" t="s">
        <v>15</v>
      </c>
      <c r="C7" s="94"/>
      <c r="D7" s="87" t="s">
        <v>14</v>
      </c>
      <c r="E7" s="87"/>
      <c r="F7" s="89" t="s">
        <v>13</v>
      </c>
      <c r="G7" s="90"/>
      <c r="H7" s="87" t="s">
        <v>12</v>
      </c>
      <c r="I7" s="87"/>
      <c r="J7" s="87"/>
      <c r="K7" s="69" t="s">
        <v>11</v>
      </c>
      <c r="L7" s="70"/>
    </row>
    <row r="8" spans="1:12" ht="24.95" customHeight="1" thickBot="1" x14ac:dyDescent="0.25">
      <c r="A8" s="68"/>
      <c r="B8" s="95"/>
      <c r="C8" s="96"/>
      <c r="D8" s="88"/>
      <c r="E8" s="88"/>
      <c r="F8" s="5" t="s">
        <v>10</v>
      </c>
      <c r="G8" s="5" t="s">
        <v>9</v>
      </c>
      <c r="H8" s="88"/>
      <c r="I8" s="88"/>
      <c r="J8" s="88"/>
      <c r="K8" s="71"/>
      <c r="L8" s="72"/>
    </row>
    <row r="9" spans="1:12" ht="24.95" customHeight="1" thickBot="1" x14ac:dyDescent="0.25">
      <c r="A9" s="73">
        <v>498</v>
      </c>
      <c r="B9" s="75">
        <v>20</v>
      </c>
      <c r="C9" s="76"/>
      <c r="D9" s="42">
        <f>AVERAGE(B13:E24)</f>
        <v>3.7825000000000002</v>
      </c>
      <c r="E9" s="44"/>
      <c r="F9" s="61">
        <v>4.5</v>
      </c>
      <c r="G9" s="62"/>
      <c r="H9" s="79">
        <v>95.5</v>
      </c>
      <c r="I9" s="80"/>
      <c r="J9" s="81"/>
      <c r="K9" s="79">
        <f>AVERAGE(L13,L15,L17,L19)</f>
        <v>0</v>
      </c>
      <c r="L9" s="81"/>
    </row>
    <row r="10" spans="1:12" ht="24.95" customHeight="1" thickBot="1" x14ac:dyDescent="0.25">
      <c r="A10" s="74"/>
      <c r="B10" s="77"/>
      <c r="C10" s="78"/>
      <c r="D10" s="48"/>
      <c r="E10" s="50"/>
      <c r="F10" s="3">
        <f>AVERAGE(I14,I16,I18,I20)</f>
        <v>2.1666666666666665</v>
      </c>
      <c r="G10" s="3">
        <f>AVERAGE(J14,J16,J18,J20)</f>
        <v>2.3333333333333335</v>
      </c>
      <c r="H10" s="82"/>
      <c r="I10" s="83"/>
      <c r="J10" s="84"/>
      <c r="K10" s="82"/>
      <c r="L10" s="84"/>
    </row>
    <row r="11" spans="1:12" ht="24.95" customHeight="1" thickBot="1" x14ac:dyDescent="0.25">
      <c r="A11" s="67" t="s">
        <v>8</v>
      </c>
      <c r="B11" s="69" t="s">
        <v>7</v>
      </c>
      <c r="C11" s="70"/>
      <c r="D11" s="69" t="s">
        <v>6</v>
      </c>
      <c r="E11" s="70"/>
      <c r="F11" s="69" t="s">
        <v>5</v>
      </c>
      <c r="G11" s="87"/>
      <c r="H11" s="70"/>
      <c r="I11" s="89" t="s">
        <v>4</v>
      </c>
      <c r="J11" s="90"/>
      <c r="K11" s="85" t="s">
        <v>3</v>
      </c>
      <c r="L11" s="70" t="s">
        <v>2</v>
      </c>
    </row>
    <row r="12" spans="1:12" ht="24.95" customHeight="1" thickBot="1" x14ac:dyDescent="0.25">
      <c r="A12" s="68"/>
      <c r="B12" s="71"/>
      <c r="C12" s="72"/>
      <c r="D12" s="71"/>
      <c r="E12" s="72"/>
      <c r="F12" s="71"/>
      <c r="G12" s="88"/>
      <c r="H12" s="72"/>
      <c r="I12" s="5" t="s">
        <v>1</v>
      </c>
      <c r="J12" s="29" t="s">
        <v>0</v>
      </c>
      <c r="K12" s="86"/>
      <c r="L12" s="72"/>
    </row>
    <row r="13" spans="1:12" ht="24.95" customHeight="1" thickBot="1" x14ac:dyDescent="0.25">
      <c r="A13" s="53">
        <v>0.33333333333333331</v>
      </c>
      <c r="B13" s="42">
        <v>2.81</v>
      </c>
      <c r="C13" s="44"/>
      <c r="D13" s="42">
        <v>3.28</v>
      </c>
      <c r="E13" s="44"/>
      <c r="F13" s="63">
        <v>11.94</v>
      </c>
      <c r="G13" s="64"/>
      <c r="H13" s="107"/>
      <c r="I13" s="61">
        <v>5.0999999999999996</v>
      </c>
      <c r="J13" s="62"/>
      <c r="K13" s="39">
        <v>94.9</v>
      </c>
      <c r="L13" s="39">
        <v>0</v>
      </c>
    </row>
    <row r="14" spans="1:12" ht="24.95" customHeight="1" thickBot="1" x14ac:dyDescent="0.25">
      <c r="A14" s="54"/>
      <c r="B14" s="48"/>
      <c r="C14" s="50"/>
      <c r="D14" s="48"/>
      <c r="E14" s="50"/>
      <c r="F14" s="65"/>
      <c r="G14" s="66"/>
      <c r="H14" s="108"/>
      <c r="I14" s="3">
        <v>2</v>
      </c>
      <c r="J14" s="28">
        <v>3.1</v>
      </c>
      <c r="K14" s="40"/>
      <c r="L14" s="40"/>
    </row>
    <row r="15" spans="1:12" ht="24.95" customHeight="1" thickBot="1" x14ac:dyDescent="0.25">
      <c r="A15" s="53">
        <v>0.41666666666666669</v>
      </c>
      <c r="B15" s="42"/>
      <c r="C15" s="44"/>
      <c r="D15" s="42"/>
      <c r="E15" s="44"/>
      <c r="F15" s="63">
        <v>12.47</v>
      </c>
      <c r="G15" s="64"/>
      <c r="H15" s="107"/>
      <c r="I15" s="61">
        <v>4.7</v>
      </c>
      <c r="J15" s="62"/>
      <c r="K15" s="39">
        <v>95.3</v>
      </c>
      <c r="L15" s="39">
        <v>0</v>
      </c>
    </row>
    <row r="16" spans="1:12" ht="24.95" customHeight="1" thickBot="1" x14ac:dyDescent="0.25">
      <c r="A16" s="54"/>
      <c r="B16" s="48"/>
      <c r="C16" s="50"/>
      <c r="D16" s="48"/>
      <c r="E16" s="50"/>
      <c r="F16" s="65"/>
      <c r="G16" s="66"/>
      <c r="H16" s="108"/>
      <c r="I16" s="3">
        <v>2.8</v>
      </c>
      <c r="J16" s="28">
        <v>1.9</v>
      </c>
      <c r="K16" s="40"/>
      <c r="L16" s="40"/>
    </row>
    <row r="17" spans="1:12" ht="24.95" customHeight="1" thickBot="1" x14ac:dyDescent="0.25">
      <c r="A17" s="53">
        <v>0.5</v>
      </c>
      <c r="B17" s="42">
        <v>3.03</v>
      </c>
      <c r="C17" s="44"/>
      <c r="D17" s="42">
        <v>6.24</v>
      </c>
      <c r="E17" s="44"/>
      <c r="F17" s="63"/>
      <c r="G17" s="64"/>
      <c r="H17" s="30"/>
      <c r="I17" s="61"/>
      <c r="J17" s="62"/>
      <c r="K17" s="39"/>
      <c r="L17" s="39"/>
    </row>
    <row r="18" spans="1:12" ht="24.95" customHeight="1" thickBot="1" x14ac:dyDescent="0.25">
      <c r="A18" s="54"/>
      <c r="B18" s="48"/>
      <c r="C18" s="50"/>
      <c r="D18" s="48"/>
      <c r="E18" s="50"/>
      <c r="F18" s="65"/>
      <c r="G18" s="66"/>
      <c r="H18" s="10"/>
      <c r="I18" s="3"/>
      <c r="J18" s="31"/>
      <c r="K18" s="40"/>
      <c r="L18" s="40"/>
    </row>
    <row r="19" spans="1:12" ht="24.95" customHeight="1" thickBot="1" x14ac:dyDescent="0.25">
      <c r="A19" s="53">
        <v>0.58333333333333337</v>
      </c>
      <c r="B19" s="42"/>
      <c r="C19" s="43"/>
      <c r="D19" s="42"/>
      <c r="E19" s="44"/>
      <c r="F19" s="63">
        <v>7.39</v>
      </c>
      <c r="G19" s="64"/>
      <c r="H19" s="107"/>
      <c r="I19" s="61">
        <v>2.7</v>
      </c>
      <c r="J19" s="62"/>
      <c r="K19" s="39">
        <v>97.3</v>
      </c>
      <c r="L19" s="39">
        <v>0</v>
      </c>
    </row>
    <row r="20" spans="1:12" ht="24.95" customHeight="1" thickBot="1" x14ac:dyDescent="0.25">
      <c r="A20" s="54"/>
      <c r="B20" s="48"/>
      <c r="C20" s="49"/>
      <c r="D20" s="48"/>
      <c r="E20" s="50"/>
      <c r="F20" s="65"/>
      <c r="G20" s="66"/>
      <c r="H20" s="108"/>
      <c r="I20" s="3">
        <v>1.7</v>
      </c>
      <c r="J20" s="28">
        <v>2</v>
      </c>
      <c r="K20" s="40"/>
      <c r="L20" s="40"/>
    </row>
    <row r="21" spans="1:12" ht="50.1" customHeight="1" thickBot="1" x14ac:dyDescent="0.25">
      <c r="A21" s="1">
        <v>0.66666666666666663</v>
      </c>
      <c r="B21" s="41">
        <v>5.25</v>
      </c>
      <c r="C21" s="41"/>
      <c r="D21" s="41">
        <v>2.4</v>
      </c>
      <c r="E21" s="41"/>
      <c r="F21" s="42"/>
      <c r="G21" s="43"/>
      <c r="H21" s="43"/>
      <c r="I21" s="43"/>
      <c r="J21" s="43"/>
      <c r="K21" s="43"/>
      <c r="L21" s="44"/>
    </row>
    <row r="22" spans="1:12" ht="50.1" customHeight="1" thickBot="1" x14ac:dyDescent="0.25">
      <c r="A22" s="1">
        <v>0.83333333333333337</v>
      </c>
      <c r="B22" s="41">
        <v>3.05</v>
      </c>
      <c r="C22" s="41"/>
      <c r="D22" s="41">
        <v>4.54</v>
      </c>
      <c r="E22" s="41"/>
      <c r="F22" s="45"/>
      <c r="G22" s="46"/>
      <c r="H22" s="46"/>
      <c r="I22" s="46"/>
      <c r="J22" s="46"/>
      <c r="K22" s="46"/>
      <c r="L22" s="47"/>
    </row>
    <row r="23" spans="1:12" ht="50.1" customHeight="1" thickBot="1" x14ac:dyDescent="0.25">
      <c r="A23" s="1">
        <v>1</v>
      </c>
      <c r="B23" s="51">
        <v>2.16</v>
      </c>
      <c r="C23" s="52"/>
      <c r="D23" s="51">
        <v>4.6399999999999997</v>
      </c>
      <c r="E23" s="52"/>
      <c r="F23" s="45"/>
      <c r="G23" s="46"/>
      <c r="H23" s="46"/>
      <c r="I23" s="46"/>
      <c r="J23" s="46"/>
      <c r="K23" s="46"/>
      <c r="L23" s="47"/>
    </row>
    <row r="24" spans="1:12" ht="50.1" customHeight="1" thickBot="1" x14ac:dyDescent="0.25">
      <c r="A24" s="1">
        <v>0.16666666666666666</v>
      </c>
      <c r="B24" s="41">
        <v>2.5</v>
      </c>
      <c r="C24" s="41"/>
      <c r="D24" s="41">
        <v>5.49</v>
      </c>
      <c r="E24" s="41"/>
      <c r="F24" s="48"/>
      <c r="G24" s="49"/>
      <c r="H24" s="49"/>
      <c r="I24" s="49"/>
      <c r="J24" s="49"/>
      <c r="K24" s="49"/>
      <c r="L24" s="50"/>
    </row>
  </sheetData>
  <mergeCells count="69">
    <mergeCell ref="F19:H20"/>
    <mergeCell ref="I19:J19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  <mergeCell ref="L19:L20"/>
    <mergeCell ref="B19:C20"/>
    <mergeCell ref="D19:E20"/>
    <mergeCell ref="K17:K18"/>
    <mergeCell ref="L17:L18"/>
    <mergeCell ref="A15:A16"/>
    <mergeCell ref="B15:C16"/>
    <mergeCell ref="D15:E16"/>
    <mergeCell ref="F15:H16"/>
    <mergeCell ref="I15:J15"/>
    <mergeCell ref="K15:K16"/>
    <mergeCell ref="A17:A18"/>
    <mergeCell ref="B17:C18"/>
    <mergeCell ref="D17:E18"/>
    <mergeCell ref="F17:G18"/>
    <mergeCell ref="I17:J17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</mergeCells>
  <conditionalFormatting sqref="D9">
    <cfRule type="cellIs" dxfId="47" priority="24" operator="greaterThan">
      <formula>7</formula>
    </cfRule>
  </conditionalFormatting>
  <conditionalFormatting sqref="F9">
    <cfRule type="cellIs" dxfId="46" priority="23" operator="greaterThan">
      <formula>20</formula>
    </cfRule>
  </conditionalFormatting>
  <conditionalFormatting sqref="H9:J10">
    <cfRule type="cellIs" dxfId="45" priority="22" operator="lessThan">
      <formula>80</formula>
    </cfRule>
  </conditionalFormatting>
  <conditionalFormatting sqref="K9:L10">
    <cfRule type="cellIs" dxfId="44" priority="21" operator="greaterThan">
      <formula>0</formula>
    </cfRule>
  </conditionalFormatting>
  <conditionalFormatting sqref="B24:E24 B23 D23 B22:E22 B21:F21 B15 B19 D13 B13">
    <cfRule type="cellIs" dxfId="43" priority="20" operator="greaterThan">
      <formula>7</formula>
    </cfRule>
  </conditionalFormatting>
  <conditionalFormatting sqref="I15 I13">
    <cfRule type="cellIs" dxfId="42" priority="19" operator="greaterThan">
      <formula>20</formula>
    </cfRule>
  </conditionalFormatting>
  <conditionalFormatting sqref="K15 K13">
    <cfRule type="cellIs" dxfId="41" priority="18" stopIfTrue="1" operator="lessThan">
      <formula>80</formula>
    </cfRule>
  </conditionalFormatting>
  <conditionalFormatting sqref="L15 L13">
    <cfRule type="cellIs" dxfId="40" priority="17" operator="greaterThan">
      <formula>0</formula>
    </cfRule>
  </conditionalFormatting>
  <conditionalFormatting sqref="F15 F19 F13">
    <cfRule type="cellIs" dxfId="39" priority="16" stopIfTrue="1" operator="greaterThan">
      <formula>10</formula>
    </cfRule>
  </conditionalFormatting>
  <conditionalFormatting sqref="K19">
    <cfRule type="cellIs" dxfId="38" priority="15" stopIfTrue="1" operator="lessThan">
      <formula>80</formula>
    </cfRule>
  </conditionalFormatting>
  <conditionalFormatting sqref="I14:J14">
    <cfRule type="cellIs" dxfId="37" priority="14" operator="greaterThan">
      <formula>20</formula>
    </cfRule>
  </conditionalFormatting>
  <conditionalFormatting sqref="J16">
    <cfRule type="cellIs" dxfId="36" priority="13" operator="greaterThan">
      <formula>20</formula>
    </cfRule>
  </conditionalFormatting>
  <conditionalFormatting sqref="I16:I17">
    <cfRule type="cellIs" dxfId="35" priority="12" operator="greaterThan">
      <formula>20</formula>
    </cfRule>
  </conditionalFormatting>
  <conditionalFormatting sqref="I18">
    <cfRule type="cellIs" dxfId="34" priority="11" operator="greaterThan">
      <formula>20</formula>
    </cfRule>
  </conditionalFormatting>
  <conditionalFormatting sqref="I19">
    <cfRule type="cellIs" dxfId="33" priority="10" operator="greaterThan">
      <formula>20</formula>
    </cfRule>
  </conditionalFormatting>
  <conditionalFormatting sqref="I20">
    <cfRule type="cellIs" dxfId="32" priority="9" operator="greaterThan">
      <formula>20</formula>
    </cfRule>
  </conditionalFormatting>
  <conditionalFormatting sqref="J20">
    <cfRule type="cellIs" dxfId="31" priority="8" operator="greaterThan">
      <formula>20</formula>
    </cfRule>
  </conditionalFormatting>
  <conditionalFormatting sqref="D15">
    <cfRule type="cellIs" dxfId="30" priority="7" operator="greaterThan">
      <formula>7</formula>
    </cfRule>
  </conditionalFormatting>
  <conditionalFormatting sqref="D17">
    <cfRule type="cellIs" dxfId="29" priority="6" operator="greaterThan">
      <formula>7</formula>
    </cfRule>
  </conditionalFormatting>
  <conditionalFormatting sqref="B17">
    <cfRule type="cellIs" dxfId="28" priority="5" operator="greaterThan">
      <formula>7</formula>
    </cfRule>
  </conditionalFormatting>
  <conditionalFormatting sqref="K17">
    <cfRule type="cellIs" dxfId="27" priority="4" stopIfTrue="1" operator="lessThan">
      <formula>80</formula>
    </cfRule>
  </conditionalFormatting>
  <conditionalFormatting sqref="L17">
    <cfRule type="cellIs" dxfId="26" priority="3" operator="greaterThan">
      <formula>0</formula>
    </cfRule>
  </conditionalFormatting>
  <conditionalFormatting sqref="L19">
    <cfRule type="cellIs" dxfId="25" priority="2" operator="greaterThan">
      <formula>0</formula>
    </cfRule>
  </conditionalFormatting>
  <conditionalFormatting sqref="F17">
    <cfRule type="cellIs" dxfId="24" priority="1" stopIfTrue="1" operator="greaterThan">
      <formula>10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topLeftCell="A7" zoomScale="80" zoomScaleNormal="100" zoomScaleSheetLayoutView="80" zoomScalePageLayoutView="80" workbookViewId="0">
      <selection activeCell="B13" sqref="B13:L24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100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2"/>
    </row>
    <row r="2" spans="1:12" ht="40.5" customHeight="1" x14ac:dyDescent="0.2">
      <c r="A2" s="103" t="s">
        <v>25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5"/>
    </row>
    <row r="3" spans="1:12" ht="40.5" customHeight="1" x14ac:dyDescent="0.2">
      <c r="A3" s="106" t="s">
        <v>24</v>
      </c>
      <c r="B3" s="106"/>
      <c r="C3" s="106" t="s">
        <v>23</v>
      </c>
      <c r="D3" s="106"/>
      <c r="E3" s="106" t="s">
        <v>22</v>
      </c>
      <c r="F3" s="106"/>
      <c r="G3" s="106"/>
      <c r="H3" s="106" t="s">
        <v>21</v>
      </c>
      <c r="I3" s="106"/>
      <c r="J3" s="106"/>
      <c r="K3" s="106" t="s">
        <v>20</v>
      </c>
      <c r="L3" s="106"/>
    </row>
    <row r="4" spans="1:12" ht="40.5" customHeight="1" x14ac:dyDescent="0.2">
      <c r="A4" s="91">
        <v>48527531</v>
      </c>
      <c r="B4" s="91"/>
      <c r="C4" s="91"/>
      <c r="D4" s="91"/>
      <c r="E4" s="91"/>
      <c r="F4" s="91"/>
      <c r="G4" s="91"/>
      <c r="H4" s="91" t="s">
        <v>19</v>
      </c>
      <c r="I4" s="91"/>
      <c r="J4" s="91"/>
      <c r="K4" s="92" t="s">
        <v>18</v>
      </c>
      <c r="L4" s="92"/>
    </row>
    <row r="5" spans="1:12" ht="40.5" customHeight="1" thickBot="1" x14ac:dyDescent="0.25">
      <c r="A5" s="97" t="s">
        <v>17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67" t="s">
        <v>16</v>
      </c>
      <c r="B7" s="93" t="s">
        <v>15</v>
      </c>
      <c r="C7" s="94"/>
      <c r="D7" s="87" t="s">
        <v>14</v>
      </c>
      <c r="E7" s="87"/>
      <c r="F7" s="89" t="s">
        <v>13</v>
      </c>
      <c r="G7" s="90"/>
      <c r="H7" s="87" t="s">
        <v>12</v>
      </c>
      <c r="I7" s="87"/>
      <c r="J7" s="87"/>
      <c r="K7" s="69" t="s">
        <v>11</v>
      </c>
      <c r="L7" s="70"/>
    </row>
    <row r="8" spans="1:12" ht="24.95" customHeight="1" thickBot="1" x14ac:dyDescent="0.25">
      <c r="A8" s="68"/>
      <c r="B8" s="95"/>
      <c r="C8" s="96"/>
      <c r="D8" s="88"/>
      <c r="E8" s="88"/>
      <c r="F8" s="5" t="s">
        <v>10</v>
      </c>
      <c r="G8" s="5" t="s">
        <v>9</v>
      </c>
      <c r="H8" s="88"/>
      <c r="I8" s="88"/>
      <c r="J8" s="88"/>
      <c r="K8" s="71"/>
      <c r="L8" s="72"/>
    </row>
    <row r="9" spans="1:12" ht="24.95" customHeight="1" thickBot="1" x14ac:dyDescent="0.25">
      <c r="A9" s="73"/>
      <c r="B9" s="75"/>
      <c r="C9" s="76"/>
      <c r="D9" s="42" t="e">
        <f>AVERAGE(B13:E24)</f>
        <v>#DIV/0!</v>
      </c>
      <c r="E9" s="44"/>
      <c r="F9" s="61" t="e">
        <f>AVERAGE(I13,I15,I17,I19)</f>
        <v>#DIV/0!</v>
      </c>
      <c r="G9" s="62"/>
      <c r="H9" s="79" t="e">
        <f>AVERAGE(K13,K15,K17,K19)</f>
        <v>#DIV/0!</v>
      </c>
      <c r="I9" s="80"/>
      <c r="J9" s="81"/>
      <c r="K9" s="79" t="e">
        <f>AVERAGE(L13,L15,L17,L19)</f>
        <v>#DIV/0!</v>
      </c>
      <c r="L9" s="81"/>
    </row>
    <row r="10" spans="1:12" ht="24.95" customHeight="1" thickBot="1" x14ac:dyDescent="0.25">
      <c r="A10" s="74"/>
      <c r="B10" s="77"/>
      <c r="C10" s="78"/>
      <c r="D10" s="48"/>
      <c r="E10" s="50"/>
      <c r="F10" s="3" t="e">
        <f>AVERAGE(I14,I16,I18,I20)</f>
        <v>#DIV/0!</v>
      </c>
      <c r="G10" s="3" t="e">
        <f>AVERAGE(J14,J16,J18,J20)</f>
        <v>#DIV/0!</v>
      </c>
      <c r="H10" s="82"/>
      <c r="I10" s="83"/>
      <c r="J10" s="84"/>
      <c r="K10" s="82"/>
      <c r="L10" s="84"/>
    </row>
    <row r="11" spans="1:12" ht="24.95" customHeight="1" thickBot="1" x14ac:dyDescent="0.25">
      <c r="A11" s="67" t="s">
        <v>8</v>
      </c>
      <c r="B11" s="69" t="s">
        <v>7</v>
      </c>
      <c r="C11" s="70"/>
      <c r="D11" s="69" t="s">
        <v>6</v>
      </c>
      <c r="E11" s="70"/>
      <c r="F11" s="69" t="s">
        <v>5</v>
      </c>
      <c r="G11" s="87"/>
      <c r="H11" s="70"/>
      <c r="I11" s="89" t="s">
        <v>4</v>
      </c>
      <c r="J11" s="90"/>
      <c r="K11" s="85" t="s">
        <v>3</v>
      </c>
      <c r="L11" s="70" t="s">
        <v>2</v>
      </c>
    </row>
    <row r="12" spans="1:12" ht="24.95" customHeight="1" thickBot="1" x14ac:dyDescent="0.25">
      <c r="A12" s="68"/>
      <c r="B12" s="71"/>
      <c r="C12" s="72"/>
      <c r="D12" s="71"/>
      <c r="E12" s="72"/>
      <c r="F12" s="71"/>
      <c r="G12" s="88"/>
      <c r="H12" s="72"/>
      <c r="I12" s="5" t="s">
        <v>1</v>
      </c>
      <c r="J12" s="29" t="s">
        <v>0</v>
      </c>
      <c r="K12" s="86"/>
      <c r="L12" s="72"/>
    </row>
    <row r="13" spans="1:12" ht="24.95" customHeight="1" thickBot="1" x14ac:dyDescent="0.25">
      <c r="A13" s="53">
        <v>0.33333333333333331</v>
      </c>
      <c r="B13" s="42"/>
      <c r="C13" s="44"/>
      <c r="D13" s="42"/>
      <c r="E13" s="44"/>
      <c r="F13" s="63"/>
      <c r="G13" s="64"/>
      <c r="H13" s="107"/>
      <c r="I13" s="61"/>
      <c r="J13" s="62"/>
      <c r="K13" s="39"/>
      <c r="L13" s="39"/>
    </row>
    <row r="14" spans="1:12" ht="24.95" customHeight="1" thickBot="1" x14ac:dyDescent="0.25">
      <c r="A14" s="54"/>
      <c r="B14" s="48"/>
      <c r="C14" s="50"/>
      <c r="D14" s="48"/>
      <c r="E14" s="50"/>
      <c r="F14" s="65"/>
      <c r="G14" s="66"/>
      <c r="H14" s="108"/>
      <c r="I14" s="3"/>
      <c r="J14" s="28"/>
      <c r="K14" s="40"/>
      <c r="L14" s="40"/>
    </row>
    <row r="15" spans="1:12" ht="24.95" customHeight="1" thickBot="1" x14ac:dyDescent="0.25">
      <c r="A15" s="53">
        <v>0.41666666666666669</v>
      </c>
      <c r="B15" s="42"/>
      <c r="C15" s="44"/>
      <c r="D15" s="42"/>
      <c r="E15" s="44"/>
      <c r="F15" s="63"/>
      <c r="G15" s="64"/>
      <c r="H15" s="107"/>
      <c r="I15" s="61"/>
      <c r="J15" s="62"/>
      <c r="K15" s="39"/>
      <c r="L15" s="39"/>
    </row>
    <row r="16" spans="1:12" ht="24.95" customHeight="1" thickBot="1" x14ac:dyDescent="0.25">
      <c r="A16" s="54"/>
      <c r="B16" s="48"/>
      <c r="C16" s="50"/>
      <c r="D16" s="48"/>
      <c r="E16" s="50"/>
      <c r="F16" s="65"/>
      <c r="G16" s="66"/>
      <c r="H16" s="108"/>
      <c r="I16" s="3"/>
      <c r="J16" s="28"/>
      <c r="K16" s="40"/>
      <c r="L16" s="40"/>
    </row>
    <row r="17" spans="1:12" ht="24.95" customHeight="1" thickBot="1" x14ac:dyDescent="0.25">
      <c r="A17" s="53">
        <v>0.5</v>
      </c>
      <c r="B17" s="42"/>
      <c r="C17" s="44"/>
      <c r="D17" s="42"/>
      <c r="E17" s="44"/>
      <c r="F17" s="63"/>
      <c r="G17" s="64"/>
      <c r="H17" s="30"/>
      <c r="I17" s="61"/>
      <c r="J17" s="62"/>
      <c r="K17" s="39"/>
      <c r="L17" s="39"/>
    </row>
    <row r="18" spans="1:12" ht="24.95" customHeight="1" thickBot="1" x14ac:dyDescent="0.25">
      <c r="A18" s="54"/>
      <c r="B18" s="48"/>
      <c r="C18" s="50"/>
      <c r="D18" s="48"/>
      <c r="E18" s="50"/>
      <c r="F18" s="65"/>
      <c r="G18" s="66"/>
      <c r="H18" s="10"/>
      <c r="I18" s="3"/>
      <c r="J18" s="31"/>
      <c r="K18" s="40"/>
      <c r="L18" s="40"/>
    </row>
    <row r="19" spans="1:12" ht="24.95" customHeight="1" thickBot="1" x14ac:dyDescent="0.25">
      <c r="A19" s="53">
        <v>0.58333333333333337</v>
      </c>
      <c r="B19" s="42"/>
      <c r="C19" s="43"/>
      <c r="D19" s="43"/>
      <c r="E19" s="44"/>
      <c r="F19" s="63"/>
      <c r="G19" s="64"/>
      <c r="H19" s="107"/>
      <c r="I19" s="61"/>
      <c r="J19" s="62"/>
      <c r="K19" s="39"/>
      <c r="L19" s="39"/>
    </row>
    <row r="20" spans="1:12" ht="24.95" customHeight="1" thickBot="1" x14ac:dyDescent="0.25">
      <c r="A20" s="54"/>
      <c r="B20" s="48"/>
      <c r="C20" s="49"/>
      <c r="D20" s="49"/>
      <c r="E20" s="50"/>
      <c r="F20" s="65"/>
      <c r="G20" s="66"/>
      <c r="H20" s="108"/>
      <c r="I20" s="3"/>
      <c r="J20" s="28"/>
      <c r="K20" s="40"/>
      <c r="L20" s="40"/>
    </row>
    <row r="21" spans="1:12" ht="50.1" customHeight="1" thickBot="1" x14ac:dyDescent="0.25">
      <c r="A21" s="1">
        <v>0.66666666666666663</v>
      </c>
      <c r="B21" s="41"/>
      <c r="C21" s="41"/>
      <c r="D21" s="41"/>
      <c r="E21" s="41"/>
      <c r="F21" s="42"/>
      <c r="G21" s="43"/>
      <c r="H21" s="43"/>
      <c r="I21" s="43"/>
      <c r="J21" s="43"/>
      <c r="K21" s="43"/>
      <c r="L21" s="44"/>
    </row>
    <row r="22" spans="1:12" ht="50.1" customHeight="1" thickBot="1" x14ac:dyDescent="0.25">
      <c r="A22" s="1">
        <v>0.83333333333333337</v>
      </c>
      <c r="B22" s="41"/>
      <c r="C22" s="41"/>
      <c r="D22" s="41"/>
      <c r="E22" s="41"/>
      <c r="F22" s="45"/>
      <c r="G22" s="46"/>
      <c r="H22" s="46"/>
      <c r="I22" s="46"/>
      <c r="J22" s="46"/>
      <c r="K22" s="46"/>
      <c r="L22" s="47"/>
    </row>
    <row r="23" spans="1:12" ht="50.1" customHeight="1" thickBot="1" x14ac:dyDescent="0.25">
      <c r="A23" s="1">
        <v>1</v>
      </c>
      <c r="B23" s="51"/>
      <c r="C23" s="52"/>
      <c r="D23" s="51"/>
      <c r="E23" s="52"/>
      <c r="F23" s="45"/>
      <c r="G23" s="46"/>
      <c r="H23" s="46"/>
      <c r="I23" s="46"/>
      <c r="J23" s="46"/>
      <c r="K23" s="46"/>
      <c r="L23" s="47"/>
    </row>
    <row r="24" spans="1:12" ht="50.1" customHeight="1" thickBot="1" x14ac:dyDescent="0.25">
      <c r="A24" s="1">
        <v>0.16666666666666666</v>
      </c>
      <c r="B24" s="41"/>
      <c r="C24" s="41"/>
      <c r="D24" s="41"/>
      <c r="E24" s="41"/>
      <c r="F24" s="48"/>
      <c r="G24" s="49"/>
      <c r="H24" s="49"/>
      <c r="I24" s="49"/>
      <c r="J24" s="49"/>
      <c r="K24" s="49"/>
      <c r="L24" s="50"/>
    </row>
  </sheetData>
  <mergeCells count="68">
    <mergeCell ref="B19:E20"/>
    <mergeCell ref="F19:H20"/>
    <mergeCell ref="I19:J19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  <mergeCell ref="L19:L20"/>
    <mergeCell ref="K17:K18"/>
    <mergeCell ref="L17:L18"/>
    <mergeCell ref="A15:A16"/>
    <mergeCell ref="B15:C16"/>
    <mergeCell ref="D15:E16"/>
    <mergeCell ref="F15:H16"/>
    <mergeCell ref="I15:J15"/>
    <mergeCell ref="K15:K16"/>
    <mergeCell ref="A17:A18"/>
    <mergeCell ref="B17:C18"/>
    <mergeCell ref="D17:E18"/>
    <mergeCell ref="F17:G18"/>
    <mergeCell ref="I17:J17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</mergeCells>
  <conditionalFormatting sqref="D9">
    <cfRule type="cellIs" dxfId="23" priority="24" operator="greaterThan">
      <formula>7</formula>
    </cfRule>
  </conditionalFormatting>
  <conditionalFormatting sqref="F9">
    <cfRule type="cellIs" dxfId="22" priority="23" operator="greaterThan">
      <formula>20</formula>
    </cfRule>
  </conditionalFormatting>
  <conditionalFormatting sqref="H9:J10">
    <cfRule type="cellIs" dxfId="21" priority="22" operator="lessThan">
      <formula>80</formula>
    </cfRule>
  </conditionalFormatting>
  <conditionalFormatting sqref="K9:L10">
    <cfRule type="cellIs" dxfId="20" priority="21" operator="greaterThan">
      <formula>0</formula>
    </cfRule>
  </conditionalFormatting>
  <conditionalFormatting sqref="B24:E24 B23 D23 B22:E22 B21:F21 B15 B19 D13 B13">
    <cfRule type="cellIs" dxfId="19" priority="20" operator="greaterThan">
      <formula>7</formula>
    </cfRule>
  </conditionalFormatting>
  <conditionalFormatting sqref="I15 I13">
    <cfRule type="cellIs" dxfId="18" priority="19" operator="greaterThan">
      <formula>20</formula>
    </cfRule>
  </conditionalFormatting>
  <conditionalFormatting sqref="K15 K13">
    <cfRule type="cellIs" dxfId="17" priority="18" stopIfTrue="1" operator="lessThan">
      <formula>80</formula>
    </cfRule>
  </conditionalFormatting>
  <conditionalFormatting sqref="L15 L13">
    <cfRule type="cellIs" dxfId="16" priority="17" operator="greaterThan">
      <formula>0</formula>
    </cfRule>
  </conditionalFormatting>
  <conditionalFormatting sqref="F15 F19 F13">
    <cfRule type="cellIs" dxfId="15" priority="16" stopIfTrue="1" operator="greaterThan">
      <formula>10</formula>
    </cfRule>
  </conditionalFormatting>
  <conditionalFormatting sqref="K19">
    <cfRule type="cellIs" dxfId="14" priority="15" stopIfTrue="1" operator="lessThan">
      <formula>80</formula>
    </cfRule>
  </conditionalFormatting>
  <conditionalFormatting sqref="I14:J14">
    <cfRule type="cellIs" dxfId="13" priority="14" operator="greaterThan">
      <formula>20</formula>
    </cfRule>
  </conditionalFormatting>
  <conditionalFormatting sqref="J16">
    <cfRule type="cellIs" dxfId="12" priority="13" operator="greaterThan">
      <formula>20</formula>
    </cfRule>
  </conditionalFormatting>
  <conditionalFormatting sqref="I16:I17">
    <cfRule type="cellIs" dxfId="11" priority="12" operator="greaterThan">
      <formula>20</formula>
    </cfRule>
  </conditionalFormatting>
  <conditionalFormatting sqref="I18">
    <cfRule type="cellIs" dxfId="10" priority="11" operator="greaterThan">
      <formula>20</formula>
    </cfRule>
  </conditionalFormatting>
  <conditionalFormatting sqref="I19">
    <cfRule type="cellIs" dxfId="9" priority="10" operator="greaterThan">
      <formula>20</formula>
    </cfRule>
  </conditionalFormatting>
  <conditionalFormatting sqref="I20">
    <cfRule type="cellIs" dxfId="8" priority="9" operator="greaterThan">
      <formula>20</formula>
    </cfRule>
  </conditionalFormatting>
  <conditionalFormatting sqref="J20">
    <cfRule type="cellIs" dxfId="7" priority="8" operator="greaterThan">
      <formula>20</formula>
    </cfRule>
  </conditionalFormatting>
  <conditionalFormatting sqref="D15">
    <cfRule type="cellIs" dxfId="6" priority="7" operator="greaterThan">
      <formula>7</formula>
    </cfRule>
  </conditionalFormatting>
  <conditionalFormatting sqref="D17">
    <cfRule type="cellIs" dxfId="5" priority="6" operator="greaterThan">
      <formula>7</formula>
    </cfRule>
  </conditionalFormatting>
  <conditionalFormatting sqref="B17">
    <cfRule type="cellIs" dxfId="4" priority="5" operator="greaterThan">
      <formula>7</formula>
    </cfRule>
  </conditionalFormatting>
  <conditionalFormatting sqref="K17">
    <cfRule type="cellIs" dxfId="3" priority="4" stopIfTrue="1" operator="lessThan">
      <formula>80</formula>
    </cfRule>
  </conditionalFormatting>
  <conditionalFormatting sqref="L17">
    <cfRule type="cellIs" dxfId="2" priority="3" operator="greaterThan">
      <formula>0</formula>
    </cfRule>
  </conditionalFormatting>
  <conditionalFormatting sqref="L19">
    <cfRule type="cellIs" dxfId="1" priority="2" operator="greaterThan">
      <formula>0</formula>
    </cfRule>
  </conditionalFormatting>
  <conditionalFormatting sqref="F17">
    <cfRule type="cellIs" dxfId="0" priority="1" stopIfTrue="1" operator="greaterThan">
      <formula>10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31</vt:i4>
      </vt:variant>
    </vt:vector>
  </HeadingPairs>
  <TitlesOfParts>
    <vt:vector size="6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'01'!Print_Area</vt:lpstr>
      <vt:lpstr>'02'!Print_Area</vt:lpstr>
      <vt:lpstr>'03'!Print_Area</vt:lpstr>
      <vt:lpstr>'04'!Print_Area</vt:lpstr>
      <vt:lpstr>'05'!Print_Area</vt:lpstr>
      <vt:lpstr>'06'!Print_Area</vt:lpstr>
      <vt:lpstr>'07'!Print_Area</vt:lpstr>
      <vt:lpstr>'08'!Print_Area</vt:lpstr>
      <vt:lpstr>'09'!Print_Area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2025-12-02T11:50:32Z</dcterms:modified>
</cp:coreProperties>
</file>
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8" activeTab="23"/>
  </bookViews>
  <sheets>
    <sheet name="01" sheetId="3" r:id="rId1"/>
    <sheet name="02" sheetId="36" r:id="rId2"/>
    <sheet name="03" sheetId="37" r:id="rId3"/>
    <sheet name="04" sheetId="38" r:id="rId4"/>
    <sheet name="05" sheetId="39" r:id="rId5"/>
    <sheet name="06" sheetId="40" r:id="rId6"/>
    <sheet name="07" sheetId="41" r:id="rId7"/>
    <sheet name="08" sheetId="42" r:id="rId8"/>
    <sheet name="09" sheetId="43" r:id="rId9"/>
    <sheet name="10" sheetId="44" r:id="rId10"/>
    <sheet name="11" sheetId="45" r:id="rId11"/>
    <sheet name="12" sheetId="46" r:id="rId12"/>
    <sheet name="13" sheetId="47" r:id="rId13"/>
    <sheet name="14" sheetId="48" r:id="rId14"/>
    <sheet name="15" sheetId="49" r:id="rId15"/>
    <sheet name="16" sheetId="50" r:id="rId16"/>
    <sheet name="17" sheetId="51" r:id="rId17"/>
    <sheet name="18" sheetId="52" r:id="rId18"/>
    <sheet name="19" sheetId="53" r:id="rId19"/>
    <sheet name="20" sheetId="54" r:id="rId20"/>
    <sheet name="21" sheetId="55" r:id="rId21"/>
    <sheet name="22" sheetId="56" r:id="rId22"/>
    <sheet name="23" sheetId="57" r:id="rId23"/>
    <sheet name="24" sheetId="58" r:id="rId24"/>
    <sheet name="25" sheetId="59" r:id="rId25"/>
    <sheet name="26" sheetId="60" r:id="rId26"/>
    <sheet name="27" sheetId="61" r:id="rId27"/>
    <sheet name="28" sheetId="62" r:id="rId28"/>
    <sheet name="29" sheetId="63" r:id="rId29"/>
    <sheet name="30" sheetId="64" r:id="rId30"/>
    <sheet name="31" sheetId="65" r:id="rId31"/>
  </sheets>
  <definedNames>
    <definedName name="_xlnm.Print_Area" localSheetId="0">'01'!$A$1:$L$24</definedName>
    <definedName name="_xlnm.Print_Area" localSheetId="1">'02'!$A$1:$L$24</definedName>
    <definedName name="_xlnm.Print_Area" localSheetId="2">'03'!$A$1:$L$24</definedName>
    <definedName name="_xlnm.Print_Area" localSheetId="3">'04'!$A$1:$L$24</definedName>
    <definedName name="_xlnm.Print_Area" localSheetId="4">'05'!$A$1:$L$24</definedName>
    <definedName name="_xlnm.Print_Area" localSheetId="5">'06'!$A$1:$L$24</definedName>
    <definedName name="_xlnm.Print_Area" localSheetId="6">'07'!$A$1:$L$25</definedName>
    <definedName name="_xlnm.Print_Area" localSheetId="7">'08'!$A$1:$L$24</definedName>
    <definedName name="_xlnm.Print_Area" localSheetId="8">'09'!$A$1:$L$24</definedName>
    <definedName name="_xlnm.Print_Area" localSheetId="9">'10'!$A$1:$L$24</definedName>
    <definedName name="_xlnm.Print_Area" localSheetId="10">'11'!$A$1:$L$24</definedName>
    <definedName name="_xlnm.Print_Area" localSheetId="11">'12'!$A$1:$L$24</definedName>
    <definedName name="_xlnm.Print_Area" localSheetId="12">'13'!$A$1:$L$24</definedName>
    <definedName name="_xlnm.Print_Area" localSheetId="13">'14'!$A$1:$L$24</definedName>
    <definedName name="_xlnm.Print_Area" localSheetId="14">'15'!$A$1:$L$24</definedName>
    <definedName name="_xlnm.Print_Area" localSheetId="15">'16'!$A$1:$L$24</definedName>
    <definedName name="_xlnm.Print_Area" localSheetId="16">'17'!$A$1:$L$24</definedName>
    <definedName name="_xlnm.Print_Area" localSheetId="17">'18'!$A$1:$L$24</definedName>
    <definedName name="_xlnm.Print_Area" localSheetId="18">'19'!$A$1:$L$25</definedName>
    <definedName name="_xlnm.Print_Area" localSheetId="19">'20'!$A$1:$L$24</definedName>
    <definedName name="_xlnm.Print_Area" localSheetId="20">'21'!$A$1:$L$24</definedName>
    <definedName name="_xlnm.Print_Area" localSheetId="21">'22'!$A$1:$L$24</definedName>
    <definedName name="_xlnm.Print_Area" localSheetId="22">'23'!$A$1:$L$24</definedName>
    <definedName name="_xlnm.Print_Area" localSheetId="23">'24'!$A$1:$L$24</definedName>
    <definedName name="_xlnm.Print_Area" localSheetId="24">'25'!$A$1:$L$24</definedName>
    <definedName name="_xlnm.Print_Area" localSheetId="25">'26'!$A$1:$L$25</definedName>
    <definedName name="_xlnm.Print_Area" localSheetId="26">'27'!$A$1:$L$24</definedName>
    <definedName name="_xlnm.Print_Area" localSheetId="27">'28'!$A$1:$L$24</definedName>
    <definedName name="_xlnm.Print_Area" localSheetId="28">'29'!$A$1:$L$24</definedName>
    <definedName name="_xlnm.Print_Area" localSheetId="29">'30'!$A$1:$L$24</definedName>
    <definedName name="_xlnm.Print_Area" localSheetId="30">'31'!$A$1:$L$24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65" l="1"/>
  <c r="F10" i="65"/>
  <c r="K9" i="65"/>
  <c r="H9" i="65"/>
  <c r="F9" i="65"/>
  <c r="D9" i="65"/>
  <c r="G10" i="64"/>
  <c r="F10" i="64"/>
  <c r="K9" i="64"/>
  <c r="H9" i="64"/>
  <c r="F9" i="64"/>
  <c r="D9" i="64"/>
  <c r="G10" i="63"/>
  <c r="F10" i="63"/>
  <c r="K9" i="63"/>
  <c r="H9" i="63"/>
  <c r="F9" i="63"/>
  <c r="D9" i="63"/>
  <c r="G10" i="62"/>
  <c r="F10" i="62"/>
  <c r="K9" i="62"/>
  <c r="H9" i="62"/>
  <c r="F9" i="62"/>
  <c r="D9" i="62"/>
  <c r="G10" i="61"/>
  <c r="F10" i="61"/>
  <c r="K9" i="61"/>
  <c r="H9" i="61"/>
  <c r="F9" i="61"/>
  <c r="D9" i="61"/>
  <c r="G10" i="60"/>
  <c r="F10" i="60"/>
  <c r="K9" i="60"/>
  <c r="H9" i="60"/>
  <c r="F9" i="60"/>
  <c r="D9" i="60"/>
  <c r="G10" i="59"/>
  <c r="F10" i="59"/>
  <c r="K9" i="59"/>
  <c r="H9" i="59"/>
  <c r="F9" i="59"/>
  <c r="D9" i="59"/>
  <c r="G10" i="58"/>
  <c r="F10" i="58"/>
  <c r="K9" i="58"/>
  <c r="F9" i="58"/>
  <c r="D9" i="58"/>
  <c r="G10" i="57"/>
  <c r="F10" i="57"/>
  <c r="K9" i="57"/>
  <c r="H9" i="57"/>
  <c r="F9" i="57"/>
  <c r="D9" i="57"/>
  <c r="G10" i="56"/>
  <c r="F10" i="56"/>
  <c r="K9" i="56"/>
  <c r="H9" i="56"/>
  <c r="F9" i="56"/>
  <c r="D9" i="56"/>
  <c r="G10" i="55" l="1"/>
  <c r="F10" i="55"/>
  <c r="K9" i="55"/>
  <c r="H9" i="55"/>
  <c r="F9" i="55"/>
  <c r="G10" i="54"/>
  <c r="F10" i="54"/>
  <c r="K9" i="54"/>
  <c r="D9" i="54"/>
  <c r="G10" i="53"/>
  <c r="F10" i="53"/>
  <c r="K9" i="53"/>
  <c r="F9" i="53"/>
  <c r="D9" i="53"/>
  <c r="G10" i="52"/>
  <c r="F10" i="52"/>
  <c r="K9" i="52"/>
  <c r="H9" i="52"/>
  <c r="F9" i="52"/>
  <c r="D9" i="52"/>
  <c r="G10" i="51" l="1"/>
  <c r="F10" i="51"/>
  <c r="K9" i="51"/>
  <c r="H9" i="51"/>
  <c r="F9" i="51"/>
  <c r="D9" i="51"/>
  <c r="G10" i="50"/>
  <c r="F10" i="50"/>
  <c r="K9" i="50"/>
  <c r="H9" i="50"/>
  <c r="F9" i="50"/>
  <c r="D9" i="50"/>
  <c r="G10" i="49"/>
  <c r="F10" i="49"/>
  <c r="K9" i="49"/>
  <c r="H9" i="49"/>
  <c r="F9" i="49"/>
  <c r="D9" i="49"/>
  <c r="G10" i="48"/>
  <c r="F10" i="48"/>
  <c r="K9" i="48"/>
  <c r="H9" i="48"/>
  <c r="F9" i="48"/>
  <c r="D9" i="48"/>
  <c r="G10" i="47" l="1"/>
  <c r="F10" i="47"/>
  <c r="K9" i="47"/>
  <c r="H9" i="47"/>
  <c r="F9" i="47"/>
  <c r="D9" i="47"/>
  <c r="G10" i="46"/>
  <c r="F10" i="46"/>
  <c r="K9" i="46"/>
  <c r="F9" i="46"/>
  <c r="D9" i="46"/>
  <c r="G10" i="45"/>
  <c r="F10" i="45"/>
  <c r="K9" i="45"/>
  <c r="H9" i="45"/>
  <c r="F9" i="45"/>
  <c r="D9" i="45"/>
  <c r="G10" i="44"/>
  <c r="F10" i="44"/>
  <c r="K9" i="44"/>
  <c r="D9" i="44"/>
  <c r="G10" i="43"/>
  <c r="F10" i="43"/>
  <c r="K9" i="43"/>
  <c r="H9" i="43"/>
  <c r="F9" i="43"/>
  <c r="D9" i="43"/>
  <c r="G10" i="42" l="1"/>
  <c r="F10" i="42"/>
  <c r="K9" i="42"/>
  <c r="H9" i="42"/>
  <c r="F9" i="42"/>
  <c r="D9" i="42"/>
  <c r="G10" i="41"/>
  <c r="F10" i="41"/>
  <c r="K9" i="41"/>
  <c r="H9" i="41"/>
  <c r="F9" i="41"/>
  <c r="D9" i="41"/>
  <c r="G10" i="40"/>
  <c r="F10" i="40"/>
  <c r="K9" i="40"/>
  <c r="H9" i="40"/>
  <c r="F9" i="40"/>
  <c r="D9" i="40"/>
  <c r="G10" i="39"/>
  <c r="F10" i="39"/>
  <c r="K9" i="39"/>
  <c r="H9" i="39"/>
  <c r="F9" i="39"/>
  <c r="D9" i="39"/>
  <c r="G10" i="38"/>
  <c r="F10" i="38"/>
  <c r="K9" i="38"/>
  <c r="D9" i="38"/>
  <c r="G10" i="37"/>
  <c r="F10" i="37"/>
  <c r="K9" i="37"/>
  <c r="D9" i="37"/>
  <c r="G10" i="36"/>
  <c r="F10" i="36"/>
  <c r="K9" i="36"/>
  <c r="H9" i="36"/>
  <c r="F9" i="36"/>
  <c r="D9" i="36"/>
  <c r="D9" i="3" l="1"/>
  <c r="F9" i="3"/>
  <c r="H9" i="3"/>
  <c r="K9" i="3"/>
  <c r="F10" i="3"/>
  <c r="G10" i="3"/>
  <c r="D9" i="55" l="1"/>
</calcChain>
</file>

<file path=xl/sharedStrings.xml><?xml version="1.0" encoding="utf-8"?>
<sst xmlns="http://schemas.openxmlformats.org/spreadsheetml/2006/main" count="830" uniqueCount="51">
  <si>
    <t>5-10 (%)</t>
  </si>
  <si>
    <t>0-5 (%)</t>
  </si>
  <si>
    <t>&gt;60 (%)</t>
  </si>
  <si>
    <t>10-60 (%)</t>
  </si>
  <si>
    <t>&lt;10 (%)</t>
  </si>
  <si>
    <t xml:space="preserve">CO2 &gt;40mm K1K2 (%) </t>
  </si>
  <si>
    <t>CO2 Klin no.2 (%)</t>
  </si>
  <si>
    <t>CO2 Klin no.1 (%)</t>
  </si>
  <si>
    <t>Time</t>
  </si>
  <si>
    <t>5-10 Average (%)</t>
  </si>
  <si>
    <t>0-5 Average (%)</t>
  </si>
  <si>
    <t>&gt;60 Average (%)</t>
  </si>
  <si>
    <t>10-60 Average (%)</t>
  </si>
  <si>
    <t>&lt;10 Average (%)</t>
  </si>
  <si>
    <t>CO2 Average (%)</t>
  </si>
  <si>
    <t>Number Of Trucks</t>
  </si>
  <si>
    <t>Tonnage</t>
  </si>
  <si>
    <r>
      <t xml:space="preserve">Subject: </t>
    </r>
    <r>
      <rPr>
        <sz val="14"/>
        <color theme="1"/>
        <rFont val="Times New Roman"/>
        <family val="1"/>
      </rPr>
      <t>Chemical &amp; Physical Properties of Calcined Lime Report</t>
    </r>
  </si>
  <si>
    <t>Foolad Sang</t>
  </si>
  <si>
    <t>Sunny</t>
  </si>
  <si>
    <t>Location</t>
  </si>
  <si>
    <t>Weather Condition</t>
  </si>
  <si>
    <t>Date of Report</t>
  </si>
  <si>
    <t>Report No.</t>
  </si>
  <si>
    <t>Contract No.</t>
  </si>
  <si>
    <r>
      <t xml:space="preserve">Project Name: </t>
    </r>
    <r>
      <rPr>
        <b/>
        <sz val="14"/>
        <color theme="1"/>
        <rFont val="B Nazanin"/>
        <charset val="178"/>
      </rPr>
      <t>بازرسی مواد اولیه خریداری شده در محل تامین کنندگان</t>
    </r>
  </si>
  <si>
    <r>
      <t xml:space="preserve">Project Name : </t>
    </r>
    <r>
      <rPr>
        <b/>
        <sz val="14"/>
        <color theme="1"/>
        <rFont val="B Nazanin"/>
        <charset val="178"/>
      </rPr>
      <t>بازرسی مواد اولیه خریداری شده در محل تامین کنندگان</t>
    </r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</si>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</sst>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;@"/>
    <numFmt numFmtId="165" formatCode="0.0"/>
    <numFmt numFmtId="166" formatCode="_-* #,##0.00_-;_-* #,##0.00\-;_-* &quot;-&quot;??_-;_-@_-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rial"/>
      <family val="2"/>
      <scheme val="minor"/>
    </font>
    <font>
      <b/>
      <sz val="14"/>
      <color theme="1"/>
      <name val="B Nazanin"/>
      <charset val="178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FE2FF"/>
        <bgColor indexed="64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0">
    <xf numFmtId="0" fontId="0" fillId="0" borderId="0" xfId="0"/>
    <xf numFmtId="164" fontId="3" fillId="0" borderId="4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shrinkToFit="1" readingOrder="1"/>
    </xf>
    <xf numFmtId="0" fontId="2" fillId="0" borderId="10" xfId="0" applyFont="1" applyBorder="1"/>
    <xf numFmtId="0" fontId="2" fillId="0" borderId="13" xfId="0" applyFont="1" applyBorder="1"/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4" xfId="1" applyNumberFormat="1" applyFont="1" applyBorder="1" applyAlignment="1">
      <alignment horizontal="center" vertical="center"/>
    </xf>
    <xf numFmtId="0" fontId="2" fillId="0" borderId="12" xfId="1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2">
    <cellStyle name="Comma 2" xfId="1"/>
    <cellStyle name="Normal" xfId="0" builtinId="0"/>
  </cellStyles>
  <dxfs count="684"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2" formatCode="0.00"/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DC928C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98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3238980" y="190501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107998</xdr:colOff>
      <xdr:row>0</xdr:row>
      <xdr:rowOff>149568</xdr:rowOff>
    </xdr:from>
    <xdr:ext cx="847629" cy="874695"/>
    <xdr:pic>
      <xdr:nvPicPr>
        <xdr:cNvPr id="2" name="Picture 1">
          <a:extLst>
            <a:ext uri="{FF2B5EF4-FFF2-40B4-BE49-F238E27FC236}">
              <a16:creationId xmlns:a16="http://schemas.microsoft.com/office/drawing/2014/main" id="{A9353C58-9C4B-4BC1-A4C8-D1E1D98B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573" y="149568"/>
          <a:ext cx="847629" cy="874695"/>
        </a:xfrm>
        <a:prstGeom prst="rect">
          <a:avLst/>
        </a:prstGeom>
      </xdr:spPr>
    </xdr:pic>
    <xdr:clientData/>
  </xdr:oneCellAnchor>
  <xdr:oneCellAnchor>
    <xdr:from>
      <xdr:col>4</xdr:col>
      <xdr:colOff>962505</xdr:colOff>
      <xdr:row>0</xdr:row>
      <xdr:rowOff>771526</xdr:rowOff>
    </xdr:from>
    <xdr:ext cx="1211357" cy="5944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5F6B01-5897-4B58-B334-50A3CC179538}"/>
            </a:ext>
          </a:extLst>
        </xdr:cNvPr>
        <xdr:cNvSpPr/>
      </xdr:nvSpPr>
      <xdr:spPr>
        <a:xfrm>
          <a:off x="4743930" y="771526"/>
          <a:ext cx="1211357" cy="5944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I</a:t>
          </a:r>
          <a:r>
            <a:rPr lang="en-US" sz="1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.</a:t>
          </a:r>
          <a:r>
            <a:rPr lang="en-US" sz="2800" b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S</a:t>
          </a:r>
          <a:r>
            <a:rPr lang="en-US" sz="1200" b="0" i="1" cap="none" spc="0">
              <a:ln w="0"/>
              <a:solidFill>
                <a:srgbClr val="0070C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cs typeface="0 Aria" panose="00000400000000000000" pitchFamily="2" charset="-78"/>
            </a:rPr>
            <a:t>de Téhéran</a:t>
          </a:r>
          <a:endParaRPr lang="en-US" sz="3200" b="0" i="1" cap="none" spc="0">
            <a:ln w="0"/>
            <a:solidFill>
              <a:srgbClr val="0070C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10" zoomScale="69" zoomScaleNormal="100" zoomScaleSheetLayoutView="69" zoomScalePageLayoutView="80" workbookViewId="0">
      <selection activeCell="J16" sqref="J16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27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525.9</v>
      </c>
      <c r="B9" s="62">
        <v>21</v>
      </c>
      <c r="C9" s="63"/>
      <c r="D9" s="29">
        <f>AVERAGE(B13:E24)</f>
        <v>4.0383333333333331</v>
      </c>
      <c r="E9" s="31"/>
      <c r="F9" s="52">
        <f>AVERAGE(I13,I15,I17,I19)</f>
        <v>5.3</v>
      </c>
      <c r="G9" s="53"/>
      <c r="H9" s="40">
        <f>AVERAGE(K13,K15,K17,K19)</f>
        <v>94.7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2.1</v>
      </c>
      <c r="G10" s="3">
        <f>AVERAGE(J14,J16,J18,J20)</f>
        <v>3.2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3.34</v>
      </c>
      <c r="C13" s="31"/>
      <c r="D13" s="29">
        <v>2.97</v>
      </c>
      <c r="E13" s="31"/>
      <c r="F13" s="46">
        <v>8.66</v>
      </c>
      <c r="G13" s="47"/>
      <c r="H13" s="48"/>
      <c r="I13" s="52">
        <v>5.3</v>
      </c>
      <c r="J13" s="53"/>
      <c r="K13" s="26">
        <v>94.7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2.1</v>
      </c>
      <c r="J14" s="2">
        <v>3.2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"/>
      <c r="K16" s="27"/>
      <c r="L16" s="27"/>
    </row>
    <row r="17" spans="1:12" ht="24.95" customHeight="1" thickBot="1" x14ac:dyDescent="0.25">
      <c r="A17" s="44">
        <v>0.5</v>
      </c>
      <c r="B17" s="29">
        <v>7.14</v>
      </c>
      <c r="C17" s="31"/>
      <c r="D17" s="29">
        <v>6.82</v>
      </c>
      <c r="E17" s="31"/>
      <c r="F17" s="46"/>
      <c r="G17" s="47"/>
      <c r="H17" s="10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"/>
      <c r="K20" s="27"/>
      <c r="L20" s="27"/>
    </row>
    <row r="21" spans="1:12" ht="50.1" customHeight="1" thickBot="1" x14ac:dyDescent="0.25">
      <c r="A21" s="1">
        <v>0.66666666666666663</v>
      </c>
      <c r="B21" s="28">
        <v>4.32</v>
      </c>
      <c r="C21" s="28"/>
      <c r="D21" s="28">
        <v>1.95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2.98</v>
      </c>
      <c r="C22" s="28"/>
      <c r="D22" s="28">
        <v>3.03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1.99</v>
      </c>
      <c r="C23" s="39"/>
      <c r="D23" s="38">
        <v>2.2599999999999998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5.85</v>
      </c>
      <c r="C24" s="28"/>
      <c r="D24" s="28">
        <v>5.81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1:L1"/>
    <mergeCell ref="A2:L2"/>
    <mergeCell ref="A3:B3"/>
    <mergeCell ref="C3:D3"/>
    <mergeCell ref="E3:G3"/>
    <mergeCell ref="H3:J3"/>
    <mergeCell ref="K3:L3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5:L5"/>
    <mergeCell ref="A4:B4"/>
    <mergeCell ref="C4:D4"/>
    <mergeCell ref="A19:A20"/>
    <mergeCell ref="D11:E12"/>
    <mergeCell ref="F11:H12"/>
    <mergeCell ref="I11:J11"/>
    <mergeCell ref="A17:A18"/>
    <mergeCell ref="B19:E20"/>
    <mergeCell ref="F19:H20"/>
    <mergeCell ref="I19:J19"/>
    <mergeCell ref="B17:C18"/>
    <mergeCell ref="D17:E18"/>
    <mergeCell ref="F17:G18"/>
    <mergeCell ref="K13:K14"/>
    <mergeCell ref="L13:L14"/>
    <mergeCell ref="A11:A12"/>
    <mergeCell ref="B11:C12"/>
    <mergeCell ref="A9:A10"/>
    <mergeCell ref="B9:C10"/>
    <mergeCell ref="D9:E10"/>
    <mergeCell ref="F9:G9"/>
    <mergeCell ref="H9:J10"/>
    <mergeCell ref="K11:K12"/>
    <mergeCell ref="L11:L12"/>
    <mergeCell ref="A13:A14"/>
    <mergeCell ref="B13:C14"/>
    <mergeCell ref="D13:E14"/>
    <mergeCell ref="F13:H14"/>
    <mergeCell ref="I13:J13"/>
    <mergeCell ref="K17:L18"/>
    <mergeCell ref="I17:J18"/>
    <mergeCell ref="L15:L16"/>
    <mergeCell ref="A15:A16"/>
    <mergeCell ref="B15:C16"/>
    <mergeCell ref="D15:E16"/>
    <mergeCell ref="F15:H16"/>
    <mergeCell ref="I15:J15"/>
    <mergeCell ref="K15:K16"/>
    <mergeCell ref="L19:L20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</mergeCells>
  <conditionalFormatting sqref="D9">
    <cfRule type="cellIs" dxfId="683" priority="44" operator="greaterThan">
      <formula>7</formula>
    </cfRule>
  </conditionalFormatting>
  <conditionalFormatting sqref="F9">
    <cfRule type="cellIs" dxfId="682" priority="31" operator="greaterThan">
      <formula>20</formula>
    </cfRule>
  </conditionalFormatting>
  <conditionalFormatting sqref="H9:J10">
    <cfRule type="cellIs" dxfId="681" priority="30" operator="lessThan">
      <formula>80</formula>
    </cfRule>
  </conditionalFormatting>
  <conditionalFormatting sqref="K9:L10">
    <cfRule type="cellIs" dxfId="680" priority="29" operator="greaterThan">
      <formula>0</formula>
    </cfRule>
  </conditionalFormatting>
  <conditionalFormatting sqref="B24:E24 B23 D23 B22:E22 B21:F21 B15 B19 D13 B13">
    <cfRule type="cellIs" dxfId="679" priority="21" operator="greaterThan">
      <formula>7</formula>
    </cfRule>
  </conditionalFormatting>
  <conditionalFormatting sqref="I15 I13">
    <cfRule type="cellIs" dxfId="678" priority="20" operator="greaterThan">
      <formula>20</formula>
    </cfRule>
  </conditionalFormatting>
  <conditionalFormatting sqref="K15 K13">
    <cfRule type="cellIs" dxfId="677" priority="19" stopIfTrue="1" operator="lessThan">
      <formula>80</formula>
    </cfRule>
  </conditionalFormatting>
  <conditionalFormatting sqref="L15 L13">
    <cfRule type="cellIs" dxfId="676" priority="18" operator="greaterThan">
      <formula>0</formula>
    </cfRule>
  </conditionalFormatting>
  <conditionalFormatting sqref="F15 F19 F13">
    <cfRule type="cellIs" dxfId="675" priority="17" stopIfTrue="1" operator="greaterThan">
      <formula>10</formula>
    </cfRule>
  </conditionalFormatting>
  <conditionalFormatting sqref="K19">
    <cfRule type="cellIs" dxfId="674" priority="16" stopIfTrue="1" operator="lessThan">
      <formula>80</formula>
    </cfRule>
  </conditionalFormatting>
  <conditionalFormatting sqref="I14:J14">
    <cfRule type="cellIs" dxfId="673" priority="15" operator="greaterThan">
      <formula>20</formula>
    </cfRule>
  </conditionalFormatting>
  <conditionalFormatting sqref="J16">
    <cfRule type="cellIs" dxfId="672" priority="14" operator="greaterThan">
      <formula>20</formula>
    </cfRule>
  </conditionalFormatting>
  <conditionalFormatting sqref="I16:I17">
    <cfRule type="cellIs" dxfId="671" priority="13" operator="greaterThan">
      <formula>20</formula>
    </cfRule>
  </conditionalFormatting>
  <conditionalFormatting sqref="I19">
    <cfRule type="cellIs" dxfId="670" priority="11" operator="greaterThan">
      <formula>20</formula>
    </cfRule>
  </conditionalFormatting>
  <conditionalFormatting sqref="I20">
    <cfRule type="cellIs" dxfId="669" priority="10" operator="greaterThan">
      <formula>20</formula>
    </cfRule>
  </conditionalFormatting>
  <conditionalFormatting sqref="J20">
    <cfRule type="cellIs" dxfId="668" priority="9" operator="greaterThan">
      <formula>20</formula>
    </cfRule>
  </conditionalFormatting>
  <conditionalFormatting sqref="D15">
    <cfRule type="cellIs" dxfId="667" priority="8" operator="greaterThan">
      <formula>7</formula>
    </cfRule>
  </conditionalFormatting>
  <conditionalFormatting sqref="D17">
    <cfRule type="cellIs" dxfId="666" priority="7" operator="greaterThan">
      <formula>7</formula>
    </cfRule>
  </conditionalFormatting>
  <conditionalFormatting sqref="B17">
    <cfRule type="cellIs" dxfId="665" priority="6" operator="greaterThan">
      <formula>7</formula>
    </cfRule>
  </conditionalFormatting>
  <conditionalFormatting sqref="L19">
    <cfRule type="cellIs" dxfId="664" priority="3" operator="greaterThan">
      <formula>0</formula>
    </cfRule>
  </conditionalFormatting>
  <conditionalFormatting sqref="F17">
    <cfRule type="cellIs" dxfId="663" priority="2" stopIfTrue="1" operator="greaterThan">
      <formula>10</formula>
    </cfRule>
  </conditionalFormatting>
  <conditionalFormatting sqref="K17">
    <cfRule type="cellIs" dxfId="662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80" zoomScaleNormal="100" zoomScaleSheetLayoutView="80" zoomScalePageLayoutView="80" workbookViewId="0">
      <selection activeCell="A5" sqref="A5:L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28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307.2</v>
      </c>
      <c r="B9" s="62">
        <v>12</v>
      </c>
      <c r="C9" s="63"/>
      <c r="D9" s="29">
        <f>AVERAGE(B13:E24)</f>
        <v>4.121666666666667</v>
      </c>
      <c r="E9" s="31"/>
      <c r="F9" s="52">
        <f>AVERAGE(I13,I15,I17,I19)</f>
        <v>7.3</v>
      </c>
      <c r="G9" s="53"/>
      <c r="H9" s="40">
        <f>AVERAGE(K13,K15,K17,K19)</f>
        <v>92.7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4.0999999999999996</v>
      </c>
      <c r="G10" s="3">
        <f>AVERAGE(J14,J16,J18,J20)</f>
        <v>3.2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1.19</v>
      </c>
      <c r="C13" s="31"/>
      <c r="D13" s="29">
        <v>3</v>
      </c>
      <c r="E13" s="31"/>
      <c r="F13" s="46">
        <v>11.44</v>
      </c>
      <c r="G13" s="47"/>
      <c r="H13" s="48"/>
      <c r="I13" s="52">
        <v>7.3</v>
      </c>
      <c r="J13" s="53"/>
      <c r="K13" s="26">
        <v>92.7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4.0999999999999996</v>
      </c>
      <c r="J14" s="13">
        <v>3.2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13"/>
      <c r="K16" s="27"/>
      <c r="L16" s="27"/>
    </row>
    <row r="17" spans="1:12" ht="24.95" customHeight="1" thickBot="1" x14ac:dyDescent="0.25">
      <c r="A17" s="44">
        <v>0.5</v>
      </c>
      <c r="B17" s="29">
        <v>3.84</v>
      </c>
      <c r="C17" s="31"/>
      <c r="D17" s="29">
        <v>2.48</v>
      </c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13"/>
      <c r="K20" s="27"/>
      <c r="L20" s="27"/>
    </row>
    <row r="21" spans="1:12" ht="50.1" customHeight="1" thickBot="1" x14ac:dyDescent="0.25">
      <c r="A21" s="1">
        <v>0.66666666666666663</v>
      </c>
      <c r="B21" s="28">
        <v>6.65</v>
      </c>
      <c r="C21" s="28"/>
      <c r="D21" s="28">
        <v>4.21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4.6399999999999997</v>
      </c>
      <c r="C22" s="28"/>
      <c r="D22" s="28">
        <v>2.91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4.32</v>
      </c>
      <c r="C23" s="39"/>
      <c r="D23" s="38">
        <v>3.53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5.0199999999999996</v>
      </c>
      <c r="C24" s="28"/>
      <c r="D24" s="28">
        <v>7.67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61" priority="25" operator="greaterThan">
      <formula>7</formula>
    </cfRule>
  </conditionalFormatting>
  <conditionalFormatting sqref="F9">
    <cfRule type="cellIs" dxfId="660" priority="24" operator="greaterThan">
      <formula>20</formula>
    </cfRule>
  </conditionalFormatting>
  <conditionalFormatting sqref="H9:J10">
    <cfRule type="cellIs" dxfId="659" priority="23" operator="lessThan">
      <formula>80</formula>
    </cfRule>
  </conditionalFormatting>
  <conditionalFormatting sqref="K9:L10">
    <cfRule type="cellIs" dxfId="658" priority="22" operator="greaterThan">
      <formula>0</formula>
    </cfRule>
  </conditionalFormatting>
  <conditionalFormatting sqref="B24:E24 B23 D23 B22:E22 B21:F21 B15 B19 D13 B13">
    <cfRule type="cellIs" dxfId="657" priority="21" operator="greaterThan">
      <formula>7</formula>
    </cfRule>
  </conditionalFormatting>
  <conditionalFormatting sqref="I15 I13">
    <cfRule type="cellIs" dxfId="656" priority="20" operator="greaterThan">
      <formula>20</formula>
    </cfRule>
  </conditionalFormatting>
  <conditionalFormatting sqref="K15 K13">
    <cfRule type="cellIs" dxfId="655" priority="19" stopIfTrue="1" operator="lessThan">
      <formula>80</formula>
    </cfRule>
  </conditionalFormatting>
  <conditionalFormatting sqref="L15 L13">
    <cfRule type="cellIs" dxfId="654" priority="18" operator="greaterThan">
      <formula>0</formula>
    </cfRule>
  </conditionalFormatting>
  <conditionalFormatting sqref="F15 F19 F13">
    <cfRule type="cellIs" dxfId="653" priority="17" stopIfTrue="1" operator="greaterThan">
      <formula>10</formula>
    </cfRule>
  </conditionalFormatting>
  <conditionalFormatting sqref="K19">
    <cfRule type="cellIs" dxfId="652" priority="16" stopIfTrue="1" operator="lessThan">
      <formula>80</formula>
    </cfRule>
  </conditionalFormatting>
  <conditionalFormatting sqref="I14:J14">
    <cfRule type="cellIs" dxfId="651" priority="15" operator="greaterThan">
      <formula>20</formula>
    </cfRule>
  </conditionalFormatting>
  <conditionalFormatting sqref="J16">
    <cfRule type="cellIs" dxfId="650" priority="14" operator="greaterThan">
      <formula>20</formula>
    </cfRule>
  </conditionalFormatting>
  <conditionalFormatting sqref="I16:I17">
    <cfRule type="cellIs" dxfId="649" priority="13" operator="greaterThan">
      <formula>20</formula>
    </cfRule>
  </conditionalFormatting>
  <conditionalFormatting sqref="I19">
    <cfRule type="cellIs" dxfId="648" priority="11" operator="greaterThan">
      <formula>20</formula>
    </cfRule>
  </conditionalFormatting>
  <conditionalFormatting sqref="I20">
    <cfRule type="cellIs" dxfId="647" priority="10" operator="greaterThan">
      <formula>20</formula>
    </cfRule>
  </conditionalFormatting>
  <conditionalFormatting sqref="J20">
    <cfRule type="cellIs" dxfId="646" priority="9" operator="greaterThan">
      <formula>20</formula>
    </cfRule>
  </conditionalFormatting>
  <conditionalFormatting sqref="D15">
    <cfRule type="cellIs" dxfId="645" priority="8" operator="greaterThan">
      <formula>7</formula>
    </cfRule>
  </conditionalFormatting>
  <conditionalFormatting sqref="D17">
    <cfRule type="cellIs" dxfId="644" priority="7" operator="greaterThan">
      <formula>7</formula>
    </cfRule>
  </conditionalFormatting>
  <conditionalFormatting sqref="B17">
    <cfRule type="cellIs" dxfId="643" priority="6" operator="greaterThan">
      <formula>7</formula>
    </cfRule>
  </conditionalFormatting>
  <conditionalFormatting sqref="L19">
    <cfRule type="cellIs" dxfId="642" priority="3" operator="greaterThan">
      <formula>0</formula>
    </cfRule>
  </conditionalFormatting>
  <conditionalFormatting sqref="F17">
    <cfRule type="cellIs" dxfId="641" priority="2" stopIfTrue="1" operator="greaterThan">
      <formula>10</formula>
    </cfRule>
  </conditionalFormatting>
  <conditionalFormatting sqref="K17">
    <cfRule type="cellIs" dxfId="640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4" zoomScaleNormal="100" zoomScaleSheetLayoutView="64" zoomScalePageLayoutView="80" workbookViewId="0">
      <selection activeCell="F9" sqref="F9:G9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29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525.9</v>
      </c>
      <c r="B9" s="62">
        <v>21</v>
      </c>
      <c r="C9" s="63"/>
      <c r="D9" s="29">
        <f>AVERAGE(B13:E24)</f>
        <v>4.0530769230769232</v>
      </c>
      <c r="E9" s="31"/>
      <c r="F9" s="52">
        <v>9.4</v>
      </c>
      <c r="G9" s="53"/>
      <c r="H9" s="40">
        <v>90.6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5.4333333333333336</v>
      </c>
      <c r="G10" s="3">
        <f>AVERAGE(J14,J16,J18,J20)</f>
        <v>4.0333333333333332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2.19</v>
      </c>
      <c r="C13" s="31"/>
      <c r="D13" s="29">
        <v>7.23</v>
      </c>
      <c r="E13" s="31"/>
      <c r="F13" s="46">
        <v>9.18</v>
      </c>
      <c r="G13" s="47"/>
      <c r="H13" s="48"/>
      <c r="I13" s="52">
        <v>19.100000000000001</v>
      </c>
      <c r="J13" s="53"/>
      <c r="K13" s="26">
        <v>80.900000000000006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12</v>
      </c>
      <c r="J14" s="13">
        <v>7.1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7.38</v>
      </c>
      <c r="G15" s="47"/>
      <c r="H15" s="48"/>
      <c r="I15" s="52">
        <v>4.4000000000000004</v>
      </c>
      <c r="J15" s="53"/>
      <c r="K15" s="26">
        <v>95.6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2</v>
      </c>
      <c r="J16" s="13">
        <v>2.4</v>
      </c>
      <c r="K16" s="27"/>
      <c r="L16" s="27"/>
    </row>
    <row r="17" spans="1:12" ht="24.95" customHeight="1" thickBot="1" x14ac:dyDescent="0.25">
      <c r="A17" s="44">
        <v>0.5</v>
      </c>
      <c r="B17" s="29">
        <v>2.86</v>
      </c>
      <c r="C17" s="31"/>
      <c r="D17" s="29">
        <v>7.52</v>
      </c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29">
        <v>11.02</v>
      </c>
      <c r="E19" s="31"/>
      <c r="F19" s="46">
        <v>4.59</v>
      </c>
      <c r="G19" s="47"/>
      <c r="H19" s="48"/>
      <c r="I19" s="52">
        <v>4.9000000000000004</v>
      </c>
      <c r="J19" s="53"/>
      <c r="K19" s="26">
        <v>95.1</v>
      </c>
      <c r="L19" s="26">
        <v>0</v>
      </c>
    </row>
    <row r="20" spans="1:12" ht="24.95" customHeight="1" thickBot="1" x14ac:dyDescent="0.25">
      <c r="A20" s="45"/>
      <c r="B20" s="35"/>
      <c r="C20" s="36"/>
      <c r="D20" s="35"/>
      <c r="E20" s="37"/>
      <c r="F20" s="49"/>
      <c r="G20" s="50"/>
      <c r="H20" s="51"/>
      <c r="I20" s="3">
        <v>2.2999999999999998</v>
      </c>
      <c r="J20" s="13">
        <v>2.6</v>
      </c>
      <c r="K20" s="27"/>
      <c r="L20" s="27"/>
    </row>
    <row r="21" spans="1:12" ht="50.1" customHeight="1" thickBot="1" x14ac:dyDescent="0.25">
      <c r="A21" s="1">
        <v>0.66666666666666663</v>
      </c>
      <c r="B21" s="28">
        <v>4.07</v>
      </c>
      <c r="C21" s="28"/>
      <c r="D21" s="28">
        <v>4.24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1.65</v>
      </c>
      <c r="C22" s="28"/>
      <c r="D22" s="28">
        <v>4.25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3.66</v>
      </c>
      <c r="C23" s="39"/>
      <c r="D23" s="38">
        <v>1.1299999999999999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1.07</v>
      </c>
      <c r="C24" s="28"/>
      <c r="D24" s="28">
        <v>1.8</v>
      </c>
      <c r="E24" s="28"/>
      <c r="F24" s="35"/>
      <c r="G24" s="36"/>
      <c r="H24" s="36"/>
      <c r="I24" s="36"/>
      <c r="J24" s="36"/>
      <c r="K24" s="36"/>
      <c r="L24" s="37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B19:C20"/>
    <mergeCell ref="D19:E20"/>
  </mergeCells>
  <conditionalFormatting sqref="D9">
    <cfRule type="cellIs" dxfId="639" priority="25" operator="greaterThan">
      <formula>7</formula>
    </cfRule>
  </conditionalFormatting>
  <conditionalFormatting sqref="F9">
    <cfRule type="cellIs" dxfId="638" priority="24" operator="greaterThan">
      <formula>20</formula>
    </cfRule>
  </conditionalFormatting>
  <conditionalFormatting sqref="H9:J10">
    <cfRule type="cellIs" dxfId="637" priority="23" operator="lessThan">
      <formula>80</formula>
    </cfRule>
  </conditionalFormatting>
  <conditionalFormatting sqref="K9:L10">
    <cfRule type="cellIs" dxfId="636" priority="22" operator="greaterThan">
      <formula>0</formula>
    </cfRule>
  </conditionalFormatting>
  <conditionalFormatting sqref="B24:E24 B23 D23 B22:E22 B21:F21 B15 B19 D13 B13">
    <cfRule type="cellIs" dxfId="635" priority="21" operator="greaterThan">
      <formula>7</formula>
    </cfRule>
  </conditionalFormatting>
  <conditionalFormatting sqref="I15 I13">
    <cfRule type="cellIs" dxfId="634" priority="20" operator="greaterThan">
      <formula>20</formula>
    </cfRule>
  </conditionalFormatting>
  <conditionalFormatting sqref="K15 K13">
    <cfRule type="cellIs" dxfId="633" priority="19" stopIfTrue="1" operator="lessThan">
      <formula>80</formula>
    </cfRule>
  </conditionalFormatting>
  <conditionalFormatting sqref="L15 L13">
    <cfRule type="cellIs" dxfId="632" priority="18" operator="greaterThan">
      <formula>0</formula>
    </cfRule>
  </conditionalFormatting>
  <conditionalFormatting sqref="F15 F19 F13">
    <cfRule type="cellIs" dxfId="631" priority="17" stopIfTrue="1" operator="greaterThan">
      <formula>10</formula>
    </cfRule>
  </conditionalFormatting>
  <conditionalFormatting sqref="K19">
    <cfRule type="cellIs" dxfId="630" priority="16" stopIfTrue="1" operator="lessThan">
      <formula>80</formula>
    </cfRule>
  </conditionalFormatting>
  <conditionalFormatting sqref="I14:J14">
    <cfRule type="cellIs" dxfId="629" priority="15" operator="greaterThan">
      <formula>20</formula>
    </cfRule>
  </conditionalFormatting>
  <conditionalFormatting sqref="J16">
    <cfRule type="cellIs" dxfId="628" priority="14" operator="greaterThan">
      <formula>20</formula>
    </cfRule>
  </conditionalFormatting>
  <conditionalFormatting sqref="I16:I17">
    <cfRule type="cellIs" dxfId="627" priority="13" operator="greaterThan">
      <formula>20</formula>
    </cfRule>
  </conditionalFormatting>
  <conditionalFormatting sqref="I19">
    <cfRule type="cellIs" dxfId="626" priority="11" operator="greaterThan">
      <formula>20</formula>
    </cfRule>
  </conditionalFormatting>
  <conditionalFormatting sqref="I20">
    <cfRule type="cellIs" dxfId="625" priority="10" operator="greaterThan">
      <formula>20</formula>
    </cfRule>
  </conditionalFormatting>
  <conditionalFormatting sqref="J20">
    <cfRule type="cellIs" dxfId="624" priority="9" operator="greaterThan">
      <formula>20</formula>
    </cfRule>
  </conditionalFormatting>
  <conditionalFormatting sqref="D15">
    <cfRule type="cellIs" dxfId="623" priority="8" operator="greaterThan">
      <formula>7</formula>
    </cfRule>
  </conditionalFormatting>
  <conditionalFormatting sqref="D17">
    <cfRule type="cellIs" dxfId="622" priority="7" operator="greaterThan">
      <formula>7</formula>
    </cfRule>
  </conditionalFormatting>
  <conditionalFormatting sqref="B17">
    <cfRule type="cellIs" dxfId="621" priority="6" operator="greaterThan">
      <formula>7</formula>
    </cfRule>
  </conditionalFormatting>
  <conditionalFormatting sqref="L19">
    <cfRule type="cellIs" dxfId="620" priority="3" operator="greaterThan">
      <formula>0</formula>
    </cfRule>
  </conditionalFormatting>
  <conditionalFormatting sqref="F17">
    <cfRule type="cellIs" dxfId="619" priority="2" stopIfTrue="1" operator="greaterThan">
      <formula>10</formula>
    </cfRule>
  </conditionalFormatting>
  <conditionalFormatting sqref="K17">
    <cfRule type="cellIs" dxfId="61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3" zoomScale="71" zoomScaleNormal="100" zoomScaleSheetLayoutView="71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30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595.6</v>
      </c>
      <c r="B9" s="62">
        <v>24</v>
      </c>
      <c r="C9" s="63"/>
      <c r="D9" s="29">
        <f>AVERAGE(B13:E24)</f>
        <v>2.3808333333333329</v>
      </c>
      <c r="E9" s="31"/>
      <c r="F9" s="52">
        <v>13.8</v>
      </c>
      <c r="G9" s="53"/>
      <c r="H9" s="40">
        <v>86.2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9.3666666666666671</v>
      </c>
      <c r="G10" s="3">
        <f>AVERAGE(J14,J16,J18,J20)</f>
        <v>4.3666666666666663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2.14</v>
      </c>
      <c r="C13" s="31"/>
      <c r="D13" s="29">
        <v>3.53</v>
      </c>
      <c r="E13" s="31"/>
      <c r="F13" s="46">
        <v>7.89</v>
      </c>
      <c r="G13" s="47"/>
      <c r="H13" s="48"/>
      <c r="I13" s="52">
        <v>5.4</v>
      </c>
      <c r="J13" s="53"/>
      <c r="K13" s="26">
        <v>94.6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2.6</v>
      </c>
      <c r="J14" s="13">
        <v>2.8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6.43</v>
      </c>
      <c r="G15" s="47"/>
      <c r="H15" s="48"/>
      <c r="I15" s="52">
        <v>17.100000000000001</v>
      </c>
      <c r="J15" s="53"/>
      <c r="K15" s="26">
        <v>82.9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11.8</v>
      </c>
      <c r="J16" s="13">
        <v>5.3</v>
      </c>
      <c r="K16" s="27"/>
      <c r="L16" s="27"/>
    </row>
    <row r="17" spans="1:12" ht="24.95" customHeight="1" thickBot="1" x14ac:dyDescent="0.25">
      <c r="A17" s="44">
        <v>0.5</v>
      </c>
      <c r="B17" s="29">
        <v>1.49</v>
      </c>
      <c r="C17" s="31"/>
      <c r="D17" s="29">
        <v>2.38</v>
      </c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6.67</v>
      </c>
      <c r="G19" s="47"/>
      <c r="H19" s="48"/>
      <c r="I19" s="52">
        <v>18.7</v>
      </c>
      <c r="J19" s="53"/>
      <c r="K19" s="26">
        <v>81.3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13.7</v>
      </c>
      <c r="J20" s="13">
        <v>5</v>
      </c>
      <c r="K20" s="27"/>
      <c r="L20" s="27"/>
    </row>
    <row r="21" spans="1:12" ht="50.1" customHeight="1" thickBot="1" x14ac:dyDescent="0.25">
      <c r="A21" s="1">
        <v>0.66666666666666663</v>
      </c>
      <c r="B21" s="28">
        <v>1.9</v>
      </c>
      <c r="C21" s="28"/>
      <c r="D21" s="28">
        <v>2.99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1.1000000000000001</v>
      </c>
      <c r="C22" s="28"/>
      <c r="D22" s="28">
        <v>5.0999999999999996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1.69</v>
      </c>
      <c r="C23" s="39"/>
      <c r="D23" s="38">
        <v>0.47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1.88</v>
      </c>
      <c r="C24" s="28"/>
      <c r="D24" s="28">
        <v>3.9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617" priority="25" operator="greaterThan">
      <formula>7</formula>
    </cfRule>
  </conditionalFormatting>
  <conditionalFormatting sqref="F9">
    <cfRule type="cellIs" dxfId="616" priority="24" operator="greaterThan">
      <formula>20</formula>
    </cfRule>
  </conditionalFormatting>
  <conditionalFormatting sqref="H9:J10">
    <cfRule type="cellIs" dxfId="615" priority="23" operator="lessThan">
      <formula>80</formula>
    </cfRule>
  </conditionalFormatting>
  <conditionalFormatting sqref="K9:L10">
    <cfRule type="cellIs" dxfId="614" priority="22" operator="greaterThan">
      <formula>0</formula>
    </cfRule>
  </conditionalFormatting>
  <conditionalFormatting sqref="B24:E24 B23 D23 B22:E22 B21:F21 B15 B19 D13 B13">
    <cfRule type="cellIs" dxfId="613" priority="21" operator="greaterThan">
      <formula>7</formula>
    </cfRule>
  </conditionalFormatting>
  <conditionalFormatting sqref="I15 I13">
    <cfRule type="cellIs" dxfId="612" priority="20" operator="greaterThan">
      <formula>20</formula>
    </cfRule>
  </conditionalFormatting>
  <conditionalFormatting sqref="K15 K13">
    <cfRule type="cellIs" dxfId="611" priority="19" stopIfTrue="1" operator="lessThan">
      <formula>80</formula>
    </cfRule>
  </conditionalFormatting>
  <conditionalFormatting sqref="L15 L13">
    <cfRule type="cellIs" dxfId="610" priority="18" operator="greaterThan">
      <formula>0</formula>
    </cfRule>
  </conditionalFormatting>
  <conditionalFormatting sqref="F15 F19 F13">
    <cfRule type="cellIs" dxfId="609" priority="17" stopIfTrue="1" operator="greaterThan">
      <formula>10</formula>
    </cfRule>
  </conditionalFormatting>
  <conditionalFormatting sqref="K19">
    <cfRule type="cellIs" dxfId="608" priority="16" stopIfTrue="1" operator="lessThan">
      <formula>80</formula>
    </cfRule>
  </conditionalFormatting>
  <conditionalFormatting sqref="I14:J14">
    <cfRule type="cellIs" dxfId="607" priority="15" operator="greaterThan">
      <formula>20</formula>
    </cfRule>
  </conditionalFormatting>
  <conditionalFormatting sqref="J16">
    <cfRule type="cellIs" dxfId="606" priority="14" operator="greaterThan">
      <formula>20</formula>
    </cfRule>
  </conditionalFormatting>
  <conditionalFormatting sqref="I16:I17">
    <cfRule type="cellIs" dxfId="605" priority="13" operator="greaterThan">
      <formula>20</formula>
    </cfRule>
  </conditionalFormatting>
  <conditionalFormatting sqref="I19">
    <cfRule type="cellIs" dxfId="604" priority="11" operator="greaterThan">
      <formula>20</formula>
    </cfRule>
  </conditionalFormatting>
  <conditionalFormatting sqref="I20">
    <cfRule type="cellIs" dxfId="603" priority="10" operator="greaterThan">
      <formula>20</formula>
    </cfRule>
  </conditionalFormatting>
  <conditionalFormatting sqref="J20">
    <cfRule type="cellIs" dxfId="602" priority="9" operator="greaterThan">
      <formula>20</formula>
    </cfRule>
  </conditionalFormatting>
  <conditionalFormatting sqref="D15">
    <cfRule type="cellIs" dxfId="601" priority="8" operator="greaterThan">
      <formula>7</formula>
    </cfRule>
  </conditionalFormatting>
  <conditionalFormatting sqref="D17">
    <cfRule type="cellIs" dxfId="600" priority="7" operator="greaterThan">
      <formula>7</formula>
    </cfRule>
  </conditionalFormatting>
  <conditionalFormatting sqref="B17">
    <cfRule type="cellIs" dxfId="599" priority="6" operator="greaterThan">
      <formula>7</formula>
    </cfRule>
  </conditionalFormatting>
  <conditionalFormatting sqref="L19">
    <cfRule type="cellIs" dxfId="598" priority="3" operator="greaterThan">
      <formula>0</formula>
    </cfRule>
  </conditionalFormatting>
  <conditionalFormatting sqref="F17">
    <cfRule type="cellIs" dxfId="597" priority="2" stopIfTrue="1" operator="greaterThan">
      <formula>10</formula>
    </cfRule>
  </conditionalFormatting>
  <conditionalFormatting sqref="K17">
    <cfRule type="cellIs" dxfId="596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8" zoomScaleNormal="100" zoomScaleSheetLayoutView="68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31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526.88</v>
      </c>
      <c r="B9" s="62">
        <v>21</v>
      </c>
      <c r="C9" s="63"/>
      <c r="D9" s="29">
        <f>AVERAGE(B13:E24)</f>
        <v>3.3366666666666664</v>
      </c>
      <c r="E9" s="31"/>
      <c r="F9" s="52">
        <f>AVERAGE(I13,I15,I17,I19)</f>
        <v>19.333333333333332</v>
      </c>
      <c r="G9" s="53"/>
      <c r="H9" s="40">
        <f>AVERAGE(K13,K15,K17,K19)</f>
        <v>80.666666666666671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14.1</v>
      </c>
      <c r="G10" s="3">
        <f>AVERAGE(J14,J16,J18,J20)</f>
        <v>5.2333333333333334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1.34</v>
      </c>
      <c r="C13" s="31"/>
      <c r="D13" s="29">
        <v>0.53</v>
      </c>
      <c r="E13" s="31"/>
      <c r="F13" s="46">
        <v>10</v>
      </c>
      <c r="G13" s="47"/>
      <c r="H13" s="48"/>
      <c r="I13" s="52">
        <v>15.8</v>
      </c>
      <c r="J13" s="53"/>
      <c r="K13" s="26">
        <v>84.2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10.8</v>
      </c>
      <c r="J14" s="13">
        <v>5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2.98</v>
      </c>
      <c r="G15" s="47"/>
      <c r="H15" s="48"/>
      <c r="I15" s="52">
        <v>25.3</v>
      </c>
      <c r="J15" s="53"/>
      <c r="K15" s="26">
        <v>74.7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19</v>
      </c>
      <c r="J16" s="13">
        <v>6.3</v>
      </c>
      <c r="K16" s="27"/>
      <c r="L16" s="27"/>
    </row>
    <row r="17" spans="1:12" ht="24.95" customHeight="1" thickBot="1" x14ac:dyDescent="0.25">
      <c r="A17" s="44">
        <v>0.5</v>
      </c>
      <c r="B17" s="29">
        <v>3.42</v>
      </c>
      <c r="C17" s="31"/>
      <c r="D17" s="29">
        <v>2.5</v>
      </c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7.46</v>
      </c>
      <c r="G19" s="47"/>
      <c r="H19" s="48"/>
      <c r="I19" s="52">
        <v>16.899999999999999</v>
      </c>
      <c r="J19" s="53"/>
      <c r="K19" s="26">
        <v>83.1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12.5</v>
      </c>
      <c r="J20" s="13">
        <v>4.4000000000000004</v>
      </c>
      <c r="K20" s="27"/>
      <c r="L20" s="27"/>
    </row>
    <row r="21" spans="1:12" ht="50.1" customHeight="1" thickBot="1" x14ac:dyDescent="0.25">
      <c r="A21" s="1">
        <v>0.66666666666666663</v>
      </c>
      <c r="B21" s="28">
        <v>3.16</v>
      </c>
      <c r="C21" s="28"/>
      <c r="D21" s="28">
        <v>2.59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6.61</v>
      </c>
      <c r="C22" s="28"/>
      <c r="D22" s="28">
        <v>3.86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5.46</v>
      </c>
      <c r="C23" s="39"/>
      <c r="D23" s="38">
        <v>3.21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3.92</v>
      </c>
      <c r="C24" s="28"/>
      <c r="D24" s="28">
        <v>3.44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95" priority="25" operator="greaterThan">
      <formula>7</formula>
    </cfRule>
  </conditionalFormatting>
  <conditionalFormatting sqref="F9">
    <cfRule type="cellIs" dxfId="594" priority="24" operator="greaterThan">
      <formula>20</formula>
    </cfRule>
  </conditionalFormatting>
  <conditionalFormatting sqref="H9:J10">
    <cfRule type="cellIs" dxfId="593" priority="23" operator="lessThan">
      <formula>80</formula>
    </cfRule>
  </conditionalFormatting>
  <conditionalFormatting sqref="K9:L10">
    <cfRule type="cellIs" dxfId="592" priority="22" operator="greaterThan">
      <formula>0</formula>
    </cfRule>
  </conditionalFormatting>
  <conditionalFormatting sqref="B24:E24 B23 D23 B22:E22 B21:F21 B15 B19 D13 B13">
    <cfRule type="cellIs" dxfId="591" priority="21" operator="greaterThan">
      <formula>7</formula>
    </cfRule>
  </conditionalFormatting>
  <conditionalFormatting sqref="I15 I13">
    <cfRule type="cellIs" dxfId="590" priority="20" operator="greaterThan">
      <formula>20</formula>
    </cfRule>
  </conditionalFormatting>
  <conditionalFormatting sqref="K15 K13">
    <cfRule type="cellIs" dxfId="589" priority="19" stopIfTrue="1" operator="lessThan">
      <formula>80</formula>
    </cfRule>
  </conditionalFormatting>
  <conditionalFormatting sqref="L15 L13">
    <cfRule type="cellIs" dxfId="588" priority="18" operator="greaterThan">
      <formula>0</formula>
    </cfRule>
  </conditionalFormatting>
  <conditionalFormatting sqref="F15 F19 F13">
    <cfRule type="cellIs" dxfId="587" priority="17" stopIfTrue="1" operator="greaterThan">
      <formula>10</formula>
    </cfRule>
  </conditionalFormatting>
  <conditionalFormatting sqref="K19">
    <cfRule type="cellIs" dxfId="586" priority="16" stopIfTrue="1" operator="lessThan">
      <formula>80</formula>
    </cfRule>
  </conditionalFormatting>
  <conditionalFormatting sqref="I14:J14">
    <cfRule type="cellIs" dxfId="585" priority="15" operator="greaterThan">
      <formula>20</formula>
    </cfRule>
  </conditionalFormatting>
  <conditionalFormatting sqref="J16">
    <cfRule type="cellIs" dxfId="584" priority="14" operator="greaterThan">
      <formula>20</formula>
    </cfRule>
  </conditionalFormatting>
  <conditionalFormatting sqref="I16:I17">
    <cfRule type="cellIs" dxfId="583" priority="13" operator="greaterThan">
      <formula>20</formula>
    </cfRule>
  </conditionalFormatting>
  <conditionalFormatting sqref="I19">
    <cfRule type="cellIs" dxfId="582" priority="11" operator="greaterThan">
      <formula>20</formula>
    </cfRule>
  </conditionalFormatting>
  <conditionalFormatting sqref="I20">
    <cfRule type="cellIs" dxfId="581" priority="10" operator="greaterThan">
      <formula>20</formula>
    </cfRule>
  </conditionalFormatting>
  <conditionalFormatting sqref="J20">
    <cfRule type="cellIs" dxfId="580" priority="9" operator="greaterThan">
      <formula>20</formula>
    </cfRule>
  </conditionalFormatting>
  <conditionalFormatting sqref="D15">
    <cfRule type="cellIs" dxfId="579" priority="8" operator="greaterThan">
      <formula>7</formula>
    </cfRule>
  </conditionalFormatting>
  <conditionalFormatting sqref="D17">
    <cfRule type="cellIs" dxfId="578" priority="7" operator="greaterThan">
      <formula>7</formula>
    </cfRule>
  </conditionalFormatting>
  <conditionalFormatting sqref="B17">
    <cfRule type="cellIs" dxfId="577" priority="6" operator="greaterThan">
      <formula>7</formula>
    </cfRule>
  </conditionalFormatting>
  <conditionalFormatting sqref="L19">
    <cfRule type="cellIs" dxfId="576" priority="3" operator="greaterThan">
      <formula>0</formula>
    </cfRule>
  </conditionalFormatting>
  <conditionalFormatting sqref="F17">
    <cfRule type="cellIs" dxfId="575" priority="2" stopIfTrue="1" operator="greaterThan">
      <formula>10</formula>
    </cfRule>
  </conditionalFormatting>
  <conditionalFormatting sqref="K17">
    <cfRule type="cellIs" dxfId="574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8" zoomScaleNormal="100" zoomScaleSheetLayoutView="68" zoomScalePageLayoutView="80" workbookViewId="0">
      <selection activeCell="F21" sqref="F21:L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32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525.9</v>
      </c>
      <c r="B9" s="62">
        <v>21</v>
      </c>
      <c r="C9" s="63"/>
      <c r="D9" s="29">
        <f>AVERAGE(B13:E24)</f>
        <v>4.4192307692307704</v>
      </c>
      <c r="E9" s="31"/>
      <c r="F9" s="52">
        <f>AVERAGE(I13,I15,I17,I19)</f>
        <v>16.899999999999999</v>
      </c>
      <c r="G9" s="53"/>
      <c r="H9" s="40">
        <f>AVERAGE(K13,K15,K17,K19)</f>
        <v>83.1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11.666666666666666</v>
      </c>
      <c r="G10" s="3">
        <f>AVERAGE(J14,J16,J18,J20)</f>
        <v>5.2333333333333334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7.69</v>
      </c>
      <c r="C13" s="31"/>
      <c r="D13" s="29">
        <v>2.88</v>
      </c>
      <c r="E13" s="31"/>
      <c r="F13" s="46">
        <v>16.690000000000001</v>
      </c>
      <c r="G13" s="47"/>
      <c r="H13" s="48"/>
      <c r="I13" s="52">
        <v>18.399999999999999</v>
      </c>
      <c r="J13" s="53"/>
      <c r="K13" s="26">
        <v>81.599999999999994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12.6</v>
      </c>
      <c r="J14" s="13">
        <v>5.8</v>
      </c>
      <c r="K14" s="27"/>
      <c r="L14" s="27"/>
    </row>
    <row r="15" spans="1:12" ht="24.95" customHeight="1" thickBot="1" x14ac:dyDescent="0.25">
      <c r="A15" s="44">
        <v>0.41666666666666669</v>
      </c>
      <c r="B15" s="29">
        <v>4.57</v>
      </c>
      <c r="C15" s="31"/>
      <c r="D15" s="29"/>
      <c r="E15" s="31"/>
      <c r="F15" s="46">
        <v>7.91</v>
      </c>
      <c r="G15" s="47"/>
      <c r="H15" s="48"/>
      <c r="I15" s="52">
        <v>15.7</v>
      </c>
      <c r="J15" s="53"/>
      <c r="K15" s="26">
        <v>84.3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11</v>
      </c>
      <c r="J16" s="13">
        <v>4.7</v>
      </c>
      <c r="K16" s="27"/>
      <c r="L16" s="27"/>
    </row>
    <row r="17" spans="1:12" ht="24.95" customHeight="1" thickBot="1" x14ac:dyDescent="0.25">
      <c r="A17" s="44">
        <v>0.5</v>
      </c>
      <c r="B17" s="29">
        <v>4.8099999999999996</v>
      </c>
      <c r="C17" s="31"/>
      <c r="D17" s="29">
        <v>2.16</v>
      </c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5.93</v>
      </c>
      <c r="G19" s="47"/>
      <c r="H19" s="48"/>
      <c r="I19" s="52">
        <v>16.600000000000001</v>
      </c>
      <c r="J19" s="53"/>
      <c r="K19" s="26">
        <v>83.4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11.4</v>
      </c>
      <c r="J20" s="13">
        <v>5.2</v>
      </c>
      <c r="K20" s="27"/>
      <c r="L20" s="27"/>
    </row>
    <row r="21" spans="1:12" ht="50.1" customHeight="1" thickBot="1" x14ac:dyDescent="0.25">
      <c r="A21" s="1">
        <v>0.66666666666666663</v>
      </c>
      <c r="B21" s="28">
        <v>5.44</v>
      </c>
      <c r="C21" s="28"/>
      <c r="D21" s="28">
        <v>5.26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1.4</v>
      </c>
      <c r="C22" s="28"/>
      <c r="D22" s="28">
        <v>4.49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6.34</v>
      </c>
      <c r="C23" s="39"/>
      <c r="D23" s="38">
        <v>4.04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3.45</v>
      </c>
      <c r="C24" s="28"/>
      <c r="D24" s="28">
        <v>4.92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73" priority="25" operator="greaterThan">
      <formula>7</formula>
    </cfRule>
  </conditionalFormatting>
  <conditionalFormatting sqref="F9">
    <cfRule type="cellIs" dxfId="572" priority="24" operator="greaterThan">
      <formula>20</formula>
    </cfRule>
  </conditionalFormatting>
  <conditionalFormatting sqref="H9:J10">
    <cfRule type="cellIs" dxfId="571" priority="23" operator="lessThan">
      <formula>80</formula>
    </cfRule>
  </conditionalFormatting>
  <conditionalFormatting sqref="K9:L10">
    <cfRule type="cellIs" dxfId="570" priority="22" operator="greaterThan">
      <formula>0</formula>
    </cfRule>
  </conditionalFormatting>
  <conditionalFormatting sqref="B24:E24 B23 D23 B22:E22 B21:F21 B15 B19 D13 B13">
    <cfRule type="cellIs" dxfId="569" priority="21" operator="greaterThan">
      <formula>7</formula>
    </cfRule>
  </conditionalFormatting>
  <conditionalFormatting sqref="I15 I13">
    <cfRule type="cellIs" dxfId="568" priority="20" operator="greaterThan">
      <formula>20</formula>
    </cfRule>
  </conditionalFormatting>
  <conditionalFormatting sqref="K15 K13">
    <cfRule type="cellIs" dxfId="567" priority="19" stopIfTrue="1" operator="lessThan">
      <formula>80</formula>
    </cfRule>
  </conditionalFormatting>
  <conditionalFormatting sqref="L15 L13">
    <cfRule type="cellIs" dxfId="566" priority="18" operator="greaterThan">
      <formula>0</formula>
    </cfRule>
  </conditionalFormatting>
  <conditionalFormatting sqref="F15 F19 F13">
    <cfRule type="cellIs" dxfId="565" priority="17" stopIfTrue="1" operator="greaterThan">
      <formula>10</formula>
    </cfRule>
  </conditionalFormatting>
  <conditionalFormatting sqref="K19">
    <cfRule type="cellIs" dxfId="564" priority="16" stopIfTrue="1" operator="lessThan">
      <formula>80</formula>
    </cfRule>
  </conditionalFormatting>
  <conditionalFormatting sqref="I14:J14">
    <cfRule type="cellIs" dxfId="563" priority="15" operator="greaterThan">
      <formula>20</formula>
    </cfRule>
  </conditionalFormatting>
  <conditionalFormatting sqref="J16">
    <cfRule type="cellIs" dxfId="562" priority="14" operator="greaterThan">
      <formula>20</formula>
    </cfRule>
  </conditionalFormatting>
  <conditionalFormatting sqref="I16:I17">
    <cfRule type="cellIs" dxfId="561" priority="13" operator="greaterThan">
      <formula>20</formula>
    </cfRule>
  </conditionalFormatting>
  <conditionalFormatting sqref="I19">
    <cfRule type="cellIs" dxfId="560" priority="11" operator="greaterThan">
      <formula>20</formula>
    </cfRule>
  </conditionalFormatting>
  <conditionalFormatting sqref="I20">
    <cfRule type="cellIs" dxfId="559" priority="10" operator="greaterThan">
      <formula>20</formula>
    </cfRule>
  </conditionalFormatting>
  <conditionalFormatting sqref="J20">
    <cfRule type="cellIs" dxfId="558" priority="9" operator="greaterThan">
      <formula>20</formula>
    </cfRule>
  </conditionalFormatting>
  <conditionalFormatting sqref="D15">
    <cfRule type="cellIs" dxfId="557" priority="8" operator="greaterThan">
      <formula>7</formula>
    </cfRule>
  </conditionalFormatting>
  <conditionalFormatting sqref="D17">
    <cfRule type="cellIs" dxfId="556" priority="7" operator="greaterThan">
      <formula>7</formula>
    </cfRule>
  </conditionalFormatting>
  <conditionalFormatting sqref="B17">
    <cfRule type="cellIs" dxfId="555" priority="6" operator="greaterThan">
      <formula>7</formula>
    </cfRule>
  </conditionalFormatting>
  <conditionalFormatting sqref="L19">
    <cfRule type="cellIs" dxfId="554" priority="3" operator="greaterThan">
      <formula>0</formula>
    </cfRule>
  </conditionalFormatting>
  <conditionalFormatting sqref="F17">
    <cfRule type="cellIs" dxfId="553" priority="2" stopIfTrue="1" operator="greaterThan">
      <formula>10</formula>
    </cfRule>
  </conditionalFormatting>
  <conditionalFormatting sqref="K17">
    <cfRule type="cellIs" dxfId="552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zoomScale="78" zoomScaleNormal="100" zoomScaleSheetLayoutView="78" zoomScalePageLayoutView="80" workbookViewId="0">
      <selection activeCell="D25" sqref="D25:E2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33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579.67999999999995</v>
      </c>
      <c r="B9" s="62">
        <v>23</v>
      </c>
      <c r="C9" s="63"/>
      <c r="D9" s="29">
        <f>AVERAGE(B13:E25)</f>
        <v>4.9850000000000003</v>
      </c>
      <c r="E9" s="31"/>
      <c r="F9" s="52">
        <f>AVERAGE(I13,I15,I17,I19)</f>
        <v>16.5</v>
      </c>
      <c r="G9" s="53"/>
      <c r="H9" s="40">
        <f>AVERAGE(K13,K15,K17,K19)</f>
        <v>83.5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11</v>
      </c>
      <c r="G10" s="3">
        <f>AVERAGE(J14,J16,J18,J20)</f>
        <v>5.5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8.3699999999999992</v>
      </c>
      <c r="C13" s="31"/>
      <c r="D13" s="29">
        <v>1.68</v>
      </c>
      <c r="E13" s="31"/>
      <c r="F13" s="46">
        <v>8.9499999999999993</v>
      </c>
      <c r="G13" s="47"/>
      <c r="H13" s="48"/>
      <c r="I13" s="52">
        <v>20.100000000000001</v>
      </c>
      <c r="J13" s="53"/>
      <c r="K13" s="26">
        <v>79.900000000000006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13.8</v>
      </c>
      <c r="J14" s="13">
        <v>6.3</v>
      </c>
      <c r="K14" s="27"/>
      <c r="L14" s="27"/>
    </row>
    <row r="15" spans="1:12" ht="24.95" customHeight="1" thickBot="1" x14ac:dyDescent="0.25">
      <c r="A15" s="44">
        <v>0.41666666666666669</v>
      </c>
      <c r="B15" s="29">
        <v>4.38</v>
      </c>
      <c r="C15" s="31"/>
      <c r="D15" s="29"/>
      <c r="E15" s="31"/>
      <c r="F15" s="46">
        <v>7.87</v>
      </c>
      <c r="G15" s="47"/>
      <c r="H15" s="48"/>
      <c r="I15" s="52">
        <v>13.6</v>
      </c>
      <c r="J15" s="53"/>
      <c r="K15" s="26">
        <v>86.4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8.6999999999999993</v>
      </c>
      <c r="J16" s="13">
        <v>4.9000000000000004</v>
      </c>
      <c r="K16" s="27"/>
      <c r="L16" s="27"/>
    </row>
    <row r="17" spans="1:12" ht="24.95" customHeight="1" thickBot="1" x14ac:dyDescent="0.25">
      <c r="A17" s="44">
        <v>0.5</v>
      </c>
      <c r="B17" s="29">
        <v>5.41</v>
      </c>
      <c r="C17" s="31"/>
      <c r="D17" s="29">
        <v>3.43</v>
      </c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15.5</v>
      </c>
      <c r="G19" s="47"/>
      <c r="H19" s="48"/>
      <c r="I19" s="52">
        <v>15.8</v>
      </c>
      <c r="J19" s="53"/>
      <c r="K19" s="26">
        <v>84.2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10.5</v>
      </c>
      <c r="J20" s="13">
        <v>5.3</v>
      </c>
      <c r="K20" s="27"/>
      <c r="L20" s="27"/>
    </row>
    <row r="21" spans="1:12" ht="50.1" customHeight="1" thickBot="1" x14ac:dyDescent="0.25">
      <c r="A21" s="1">
        <v>0.66666666666666663</v>
      </c>
      <c r="B21" s="28">
        <v>6.27</v>
      </c>
      <c r="C21" s="28"/>
      <c r="D21" s="28">
        <v>7.94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0.70833333333333337</v>
      </c>
      <c r="B22" s="38"/>
      <c r="C22" s="39"/>
      <c r="D22" s="38">
        <v>6.38</v>
      </c>
      <c r="E22" s="39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0.83333333333333337</v>
      </c>
      <c r="B23" s="28">
        <v>5.53</v>
      </c>
      <c r="C23" s="28"/>
      <c r="D23" s="28">
        <v>3.06</v>
      </c>
      <c r="E23" s="28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1</v>
      </c>
      <c r="B24" s="38">
        <v>6.59</v>
      </c>
      <c r="C24" s="39"/>
      <c r="D24" s="38">
        <v>1.93</v>
      </c>
      <c r="E24" s="39"/>
      <c r="F24" s="32"/>
      <c r="G24" s="33"/>
      <c r="H24" s="33"/>
      <c r="I24" s="33"/>
      <c r="J24" s="33"/>
      <c r="K24" s="33"/>
      <c r="L24" s="34"/>
    </row>
    <row r="25" spans="1:12" ht="50.1" customHeight="1" thickBot="1" x14ac:dyDescent="0.25">
      <c r="A25" s="1">
        <v>0.16666666666666666</v>
      </c>
      <c r="B25" s="28">
        <v>2.87</v>
      </c>
      <c r="C25" s="28"/>
      <c r="D25" s="28">
        <v>5.95</v>
      </c>
      <c r="E25" s="28"/>
      <c r="F25" s="35"/>
      <c r="G25" s="36"/>
      <c r="H25" s="36"/>
      <c r="I25" s="36"/>
      <c r="J25" s="36"/>
      <c r="K25" s="36"/>
      <c r="L25" s="37"/>
    </row>
  </sheetData>
  <mergeCells count="69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I17:J18"/>
    <mergeCell ref="K17:L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5"/>
    <mergeCell ref="B23:C23"/>
    <mergeCell ref="D23:E23"/>
    <mergeCell ref="B24:C24"/>
    <mergeCell ref="D24:E24"/>
    <mergeCell ref="B25:C25"/>
    <mergeCell ref="D25:E25"/>
    <mergeCell ref="L19:L20"/>
    <mergeCell ref="B22:C22"/>
    <mergeCell ref="D22:E22"/>
  </mergeCells>
  <conditionalFormatting sqref="D9">
    <cfRule type="cellIs" dxfId="551" priority="25" operator="greaterThan">
      <formula>7</formula>
    </cfRule>
  </conditionalFormatting>
  <conditionalFormatting sqref="F9">
    <cfRule type="cellIs" dxfId="550" priority="24" operator="greaterThan">
      <formula>20</formula>
    </cfRule>
  </conditionalFormatting>
  <conditionalFormatting sqref="H9:J10">
    <cfRule type="cellIs" dxfId="549" priority="23" operator="lessThan">
      <formula>80</formula>
    </cfRule>
  </conditionalFormatting>
  <conditionalFormatting sqref="K9:L10">
    <cfRule type="cellIs" dxfId="548" priority="22" operator="greaterThan">
      <formula>0</formula>
    </cfRule>
  </conditionalFormatting>
  <conditionalFormatting sqref="B25:E25 B24 D24 B23:E23 B21:F21 B15 B19 D13 B13 B22 D22 F22">
    <cfRule type="cellIs" dxfId="547" priority="21" operator="greaterThan">
      <formula>7</formula>
    </cfRule>
  </conditionalFormatting>
  <conditionalFormatting sqref="I15 I13">
    <cfRule type="cellIs" dxfId="546" priority="20" operator="greaterThan">
      <formula>20</formula>
    </cfRule>
  </conditionalFormatting>
  <conditionalFormatting sqref="K15 K13">
    <cfRule type="cellIs" dxfId="545" priority="19" stopIfTrue="1" operator="lessThan">
      <formula>80</formula>
    </cfRule>
  </conditionalFormatting>
  <conditionalFormatting sqref="L15 L13">
    <cfRule type="cellIs" dxfId="544" priority="18" operator="greaterThan">
      <formula>0</formula>
    </cfRule>
  </conditionalFormatting>
  <conditionalFormatting sqref="F15 F19 F13">
    <cfRule type="cellIs" dxfId="543" priority="17" stopIfTrue="1" operator="greaterThan">
      <formula>10</formula>
    </cfRule>
  </conditionalFormatting>
  <conditionalFormatting sqref="K19">
    <cfRule type="cellIs" dxfId="542" priority="16" stopIfTrue="1" operator="lessThan">
      <formula>80</formula>
    </cfRule>
  </conditionalFormatting>
  <conditionalFormatting sqref="I14:J14">
    <cfRule type="cellIs" dxfId="541" priority="15" operator="greaterThan">
      <formula>20</formula>
    </cfRule>
  </conditionalFormatting>
  <conditionalFormatting sqref="J16">
    <cfRule type="cellIs" dxfId="540" priority="14" operator="greaterThan">
      <formula>20</formula>
    </cfRule>
  </conditionalFormatting>
  <conditionalFormatting sqref="I16:I17">
    <cfRule type="cellIs" dxfId="539" priority="13" operator="greaterThan">
      <formula>20</formula>
    </cfRule>
  </conditionalFormatting>
  <conditionalFormatting sqref="I19">
    <cfRule type="cellIs" dxfId="538" priority="11" operator="greaterThan">
      <formula>20</formula>
    </cfRule>
  </conditionalFormatting>
  <conditionalFormatting sqref="I20">
    <cfRule type="cellIs" dxfId="537" priority="10" operator="greaterThan">
      <formula>20</formula>
    </cfRule>
  </conditionalFormatting>
  <conditionalFormatting sqref="J20">
    <cfRule type="cellIs" dxfId="536" priority="9" operator="greaterThan">
      <formula>20</formula>
    </cfRule>
  </conditionalFormatting>
  <conditionalFormatting sqref="D15">
    <cfRule type="cellIs" dxfId="535" priority="8" operator="greaterThan">
      <formula>7</formula>
    </cfRule>
  </conditionalFormatting>
  <conditionalFormatting sqref="D17">
    <cfRule type="cellIs" dxfId="534" priority="7" operator="greaterThan">
      <formula>7</formula>
    </cfRule>
  </conditionalFormatting>
  <conditionalFormatting sqref="B17">
    <cfRule type="cellIs" dxfId="533" priority="6" operator="greaterThan">
      <formula>7</formula>
    </cfRule>
  </conditionalFormatting>
  <conditionalFormatting sqref="L19">
    <cfRule type="cellIs" dxfId="532" priority="3" operator="greaterThan">
      <formula>0</formula>
    </cfRule>
  </conditionalFormatting>
  <conditionalFormatting sqref="F17">
    <cfRule type="cellIs" dxfId="531" priority="2" stopIfTrue="1" operator="greaterThan">
      <formula>10</formula>
    </cfRule>
  </conditionalFormatting>
  <conditionalFormatting sqref="K17">
    <cfRule type="cellIs" dxfId="530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9" zoomScaleNormal="100" zoomScaleSheetLayoutView="69" zoomScalePageLayoutView="80" workbookViewId="0">
      <selection activeCell="G10" sqref="G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34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509.2</v>
      </c>
      <c r="B9" s="62">
        <v>20</v>
      </c>
      <c r="C9" s="63"/>
      <c r="D9" s="29">
        <f>AVERAGE(B13:E24)</f>
        <v>2.6250000000000004</v>
      </c>
      <c r="E9" s="31"/>
      <c r="F9" s="52">
        <f>AVERAGE(I13,I15,I17,I19)</f>
        <v>5.2</v>
      </c>
      <c r="G9" s="53"/>
      <c r="H9" s="40">
        <f>AVERAGE(K13,K15,K17,K19)</f>
        <v>94.8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2.2999999999999998</v>
      </c>
      <c r="G10" s="3">
        <f>AVERAGE(J14,J16,J18,J20)</f>
        <v>2.9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2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7.12</v>
      </c>
      <c r="C13" s="31"/>
      <c r="D13" s="29">
        <v>1.27</v>
      </c>
      <c r="E13" s="31"/>
      <c r="F13" s="46">
        <v>13.31</v>
      </c>
      <c r="G13" s="47"/>
      <c r="H13" s="48"/>
      <c r="I13" s="52">
        <v>5.2</v>
      </c>
      <c r="J13" s="53"/>
      <c r="K13" s="26">
        <v>94.8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2.2999999999999998</v>
      </c>
      <c r="J14" s="13">
        <v>2.9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13"/>
      <c r="K16" s="27"/>
      <c r="L16" s="27"/>
    </row>
    <row r="17" spans="1:12" ht="24.95" customHeight="1" thickBot="1" x14ac:dyDescent="0.25">
      <c r="A17" s="44">
        <v>0.5</v>
      </c>
      <c r="B17" s="29">
        <v>2.14</v>
      </c>
      <c r="C17" s="31"/>
      <c r="D17" s="29"/>
      <c r="E17" s="31"/>
      <c r="F17" s="46"/>
      <c r="G17" s="47"/>
      <c r="H17" s="11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13"/>
      <c r="K20" s="27"/>
      <c r="L20" s="27"/>
    </row>
    <row r="21" spans="1:12" ht="50.1" customHeight="1" thickBot="1" x14ac:dyDescent="0.25">
      <c r="A21" s="1">
        <v>0.66666666666666663</v>
      </c>
      <c r="B21" s="28">
        <v>1.51</v>
      </c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1.79</v>
      </c>
      <c r="C22" s="28"/>
      <c r="D22" s="28">
        <v>2.93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2.6</v>
      </c>
      <c r="C23" s="39"/>
      <c r="D23" s="38">
        <v>1.63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3.1</v>
      </c>
      <c r="C24" s="28"/>
      <c r="D24" s="28">
        <v>2.16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29" priority="25" operator="greaterThan">
      <formula>7</formula>
    </cfRule>
  </conditionalFormatting>
  <conditionalFormatting sqref="F9">
    <cfRule type="cellIs" dxfId="528" priority="24" operator="greaterThan">
      <formula>20</formula>
    </cfRule>
  </conditionalFormatting>
  <conditionalFormatting sqref="H9:J10">
    <cfRule type="cellIs" dxfId="527" priority="23" operator="lessThan">
      <formula>80</formula>
    </cfRule>
  </conditionalFormatting>
  <conditionalFormatting sqref="K9:L10">
    <cfRule type="cellIs" dxfId="526" priority="22" operator="greaterThan">
      <formula>0</formula>
    </cfRule>
  </conditionalFormatting>
  <conditionalFormatting sqref="B24:E24 B23 D23 B22:E22 B21:F21 B15 B19 D13 B13">
    <cfRule type="cellIs" dxfId="525" priority="21" operator="greaterThan">
      <formula>7</formula>
    </cfRule>
  </conditionalFormatting>
  <conditionalFormatting sqref="I15 I13">
    <cfRule type="cellIs" dxfId="524" priority="20" operator="greaterThan">
      <formula>20</formula>
    </cfRule>
  </conditionalFormatting>
  <conditionalFormatting sqref="K15 K13">
    <cfRule type="cellIs" dxfId="523" priority="19" stopIfTrue="1" operator="lessThan">
      <formula>80</formula>
    </cfRule>
  </conditionalFormatting>
  <conditionalFormatting sqref="L15 L13">
    <cfRule type="cellIs" dxfId="522" priority="18" operator="greaterThan">
      <formula>0</formula>
    </cfRule>
  </conditionalFormatting>
  <conditionalFormatting sqref="F15 F19 F13">
    <cfRule type="cellIs" dxfId="521" priority="17" stopIfTrue="1" operator="greaterThan">
      <formula>10</formula>
    </cfRule>
  </conditionalFormatting>
  <conditionalFormatting sqref="K19">
    <cfRule type="cellIs" dxfId="520" priority="16" stopIfTrue="1" operator="lessThan">
      <formula>80</formula>
    </cfRule>
  </conditionalFormatting>
  <conditionalFormatting sqref="I14:J14">
    <cfRule type="cellIs" dxfId="519" priority="15" operator="greaterThan">
      <formula>20</formula>
    </cfRule>
  </conditionalFormatting>
  <conditionalFormatting sqref="J16">
    <cfRule type="cellIs" dxfId="518" priority="14" operator="greaterThan">
      <formula>20</formula>
    </cfRule>
  </conditionalFormatting>
  <conditionalFormatting sqref="I16:I17">
    <cfRule type="cellIs" dxfId="517" priority="13" operator="greaterThan">
      <formula>20</formula>
    </cfRule>
  </conditionalFormatting>
  <conditionalFormatting sqref="I19">
    <cfRule type="cellIs" dxfId="516" priority="11" operator="greaterThan">
      <formula>20</formula>
    </cfRule>
  </conditionalFormatting>
  <conditionalFormatting sqref="I20">
    <cfRule type="cellIs" dxfId="515" priority="10" operator="greaterThan">
      <formula>20</formula>
    </cfRule>
  </conditionalFormatting>
  <conditionalFormatting sqref="J20">
    <cfRule type="cellIs" dxfId="514" priority="9" operator="greaterThan">
      <formula>20</formula>
    </cfRule>
  </conditionalFormatting>
  <conditionalFormatting sqref="D15">
    <cfRule type="cellIs" dxfId="513" priority="8" operator="greaterThan">
      <formula>7</formula>
    </cfRule>
  </conditionalFormatting>
  <conditionalFormatting sqref="D17">
    <cfRule type="cellIs" dxfId="512" priority="7" operator="greaterThan">
      <formula>7</formula>
    </cfRule>
  </conditionalFormatting>
  <conditionalFormatting sqref="B17">
    <cfRule type="cellIs" dxfId="511" priority="6" operator="greaterThan">
      <formula>7</formula>
    </cfRule>
  </conditionalFormatting>
  <conditionalFormatting sqref="L19">
    <cfRule type="cellIs" dxfId="510" priority="3" operator="greaterThan">
      <formula>0</formula>
    </cfRule>
  </conditionalFormatting>
  <conditionalFormatting sqref="F17">
    <cfRule type="cellIs" dxfId="509" priority="2" stopIfTrue="1" operator="greaterThan">
      <formula>10</formula>
    </cfRule>
  </conditionalFormatting>
  <conditionalFormatting sqref="K17">
    <cfRule type="cellIs" dxfId="50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59" zoomScaleNormal="100" zoomScaleSheetLayoutView="59" zoomScalePageLayoutView="80" workbookViewId="0">
      <selection activeCell="E3" sqref="E3:G3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35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634.4</v>
      </c>
      <c r="B9" s="62">
        <v>24</v>
      </c>
      <c r="C9" s="63"/>
      <c r="D9" s="29">
        <f>AVERAGE(B13:E24)</f>
        <v>3.2566666666666664</v>
      </c>
      <c r="E9" s="31"/>
      <c r="F9" s="52">
        <f>AVERAGE(I13,I15,I17,I19)</f>
        <v>5.2</v>
      </c>
      <c r="G9" s="53"/>
      <c r="H9" s="40">
        <f>AVERAGE(K13,K15,K17,K19)</f>
        <v>94.8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2.9</v>
      </c>
      <c r="G10" s="3">
        <f>AVERAGE(J14,J16,J18,J20)</f>
        <v>2.2999999999999998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5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6.38</v>
      </c>
      <c r="C13" s="31"/>
      <c r="D13" s="29">
        <v>1.35</v>
      </c>
      <c r="E13" s="31"/>
      <c r="F13" s="46">
        <v>3.28</v>
      </c>
      <c r="G13" s="47"/>
      <c r="H13" s="48"/>
      <c r="I13" s="52">
        <v>5.2</v>
      </c>
      <c r="J13" s="53"/>
      <c r="K13" s="26">
        <v>94.8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2.9</v>
      </c>
      <c r="J14" s="16">
        <v>2.2999999999999998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16"/>
      <c r="K16" s="27"/>
      <c r="L16" s="27"/>
    </row>
    <row r="17" spans="1:12" ht="24.95" customHeight="1" thickBot="1" x14ac:dyDescent="0.25">
      <c r="A17" s="44">
        <v>0.5</v>
      </c>
      <c r="B17" s="29">
        <v>2.97</v>
      </c>
      <c r="C17" s="31"/>
      <c r="D17" s="29">
        <v>2.33</v>
      </c>
      <c r="E17" s="31"/>
      <c r="F17" s="46"/>
      <c r="G17" s="47"/>
      <c r="H17" s="14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16"/>
      <c r="K20" s="27"/>
      <c r="L20" s="27"/>
    </row>
    <row r="21" spans="1:12" ht="50.1" customHeight="1" thickBot="1" x14ac:dyDescent="0.25">
      <c r="A21" s="1">
        <v>0.66666666666666663</v>
      </c>
      <c r="B21" s="28">
        <v>3.38</v>
      </c>
      <c r="C21" s="28"/>
      <c r="D21" s="28">
        <v>3.01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3.16</v>
      </c>
      <c r="C22" s="28"/>
      <c r="D22" s="28">
        <v>4.2699999999999996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1.42</v>
      </c>
      <c r="C23" s="39"/>
      <c r="D23" s="38">
        <v>4.09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5.54</v>
      </c>
      <c r="C24" s="28"/>
      <c r="D24" s="28">
        <v>1.18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507" priority="25" operator="greaterThan">
      <formula>7</formula>
    </cfRule>
  </conditionalFormatting>
  <conditionalFormatting sqref="F9">
    <cfRule type="cellIs" dxfId="506" priority="24" operator="greaterThan">
      <formula>20</formula>
    </cfRule>
  </conditionalFormatting>
  <conditionalFormatting sqref="H9:J10">
    <cfRule type="cellIs" dxfId="505" priority="23" operator="lessThan">
      <formula>80</formula>
    </cfRule>
  </conditionalFormatting>
  <conditionalFormatting sqref="K9:L10">
    <cfRule type="cellIs" dxfId="504" priority="22" operator="greaterThan">
      <formula>0</formula>
    </cfRule>
  </conditionalFormatting>
  <conditionalFormatting sqref="B24:E24 B23 D23 B22:E22 B21:F21 B15 B19 D13 B13">
    <cfRule type="cellIs" dxfId="503" priority="21" operator="greaterThan">
      <formula>7</formula>
    </cfRule>
  </conditionalFormatting>
  <conditionalFormatting sqref="I15 I13">
    <cfRule type="cellIs" dxfId="502" priority="20" operator="greaterThan">
      <formula>20</formula>
    </cfRule>
  </conditionalFormatting>
  <conditionalFormatting sqref="K15 K13">
    <cfRule type="cellIs" dxfId="501" priority="19" stopIfTrue="1" operator="lessThan">
      <formula>80</formula>
    </cfRule>
  </conditionalFormatting>
  <conditionalFormatting sqref="L15 L13">
    <cfRule type="cellIs" dxfId="500" priority="18" operator="greaterThan">
      <formula>0</formula>
    </cfRule>
  </conditionalFormatting>
  <conditionalFormatting sqref="F15 F19 F13">
    <cfRule type="cellIs" dxfId="499" priority="17" stopIfTrue="1" operator="greaterThan">
      <formula>10</formula>
    </cfRule>
  </conditionalFormatting>
  <conditionalFormatting sqref="K19">
    <cfRule type="cellIs" dxfId="498" priority="16" stopIfTrue="1" operator="lessThan">
      <formula>80</formula>
    </cfRule>
  </conditionalFormatting>
  <conditionalFormatting sqref="I14:J14">
    <cfRule type="cellIs" dxfId="497" priority="15" operator="greaterThan">
      <formula>20</formula>
    </cfRule>
  </conditionalFormatting>
  <conditionalFormatting sqref="J16">
    <cfRule type="cellIs" dxfId="496" priority="14" operator="greaterThan">
      <formula>20</formula>
    </cfRule>
  </conditionalFormatting>
  <conditionalFormatting sqref="I16:I17">
    <cfRule type="cellIs" dxfId="495" priority="13" operator="greaterThan">
      <formula>20</formula>
    </cfRule>
  </conditionalFormatting>
  <conditionalFormatting sqref="I19">
    <cfRule type="cellIs" dxfId="494" priority="11" operator="greaterThan">
      <formula>20</formula>
    </cfRule>
  </conditionalFormatting>
  <conditionalFormatting sqref="I20">
    <cfRule type="cellIs" dxfId="493" priority="10" operator="greaterThan">
      <formula>20</formula>
    </cfRule>
  </conditionalFormatting>
  <conditionalFormatting sqref="J20">
    <cfRule type="cellIs" dxfId="492" priority="9" operator="greaterThan">
      <formula>20</formula>
    </cfRule>
  </conditionalFormatting>
  <conditionalFormatting sqref="D15">
    <cfRule type="cellIs" dxfId="491" priority="8" operator="greaterThan">
      <formula>7</formula>
    </cfRule>
  </conditionalFormatting>
  <conditionalFormatting sqref="D17">
    <cfRule type="cellIs" dxfId="490" priority="7" operator="greaterThan">
      <formula>7</formula>
    </cfRule>
  </conditionalFormatting>
  <conditionalFormatting sqref="B17">
    <cfRule type="cellIs" dxfId="489" priority="6" operator="greaterThan">
      <formula>7</formula>
    </cfRule>
  </conditionalFormatting>
  <conditionalFormatting sqref="L19">
    <cfRule type="cellIs" dxfId="488" priority="3" operator="greaterThan">
      <formula>0</formula>
    </cfRule>
  </conditionalFormatting>
  <conditionalFormatting sqref="F17">
    <cfRule type="cellIs" dxfId="487" priority="2" stopIfTrue="1" operator="greaterThan">
      <formula>10</formula>
    </cfRule>
  </conditionalFormatting>
  <conditionalFormatting sqref="K17">
    <cfRule type="cellIs" dxfId="486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60" zoomScaleNormal="10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36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674.6</v>
      </c>
      <c r="B9" s="62">
        <v>27</v>
      </c>
      <c r="C9" s="63"/>
      <c r="D9" s="29">
        <f>AVERAGE(B13:E24)</f>
        <v>4.5266666666666664</v>
      </c>
      <c r="E9" s="31"/>
      <c r="F9" s="52">
        <v>9.5</v>
      </c>
      <c r="G9" s="53"/>
      <c r="H9" s="40">
        <v>90.5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6.0666666666666664</v>
      </c>
      <c r="G10" s="3">
        <f>AVERAGE(J14,J16,J18,J20)</f>
        <v>3.3666666666666667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5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4.2</v>
      </c>
      <c r="C13" s="31"/>
      <c r="D13" s="29">
        <v>3.26</v>
      </c>
      <c r="E13" s="31"/>
      <c r="F13" s="46">
        <v>9.43</v>
      </c>
      <c r="G13" s="47"/>
      <c r="H13" s="48"/>
      <c r="I13" s="52">
        <v>3.6</v>
      </c>
      <c r="J13" s="53"/>
      <c r="K13" s="26">
        <v>96.4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1.9</v>
      </c>
      <c r="J14" s="16">
        <v>1.7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6.81</v>
      </c>
      <c r="G15" s="47"/>
      <c r="H15" s="48"/>
      <c r="I15" s="52">
        <v>13.2</v>
      </c>
      <c r="J15" s="53"/>
      <c r="K15" s="26">
        <v>86.8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9.1</v>
      </c>
      <c r="J16" s="16">
        <v>4.0999999999999996</v>
      </c>
      <c r="K16" s="27"/>
      <c r="L16" s="27"/>
    </row>
    <row r="17" spans="1:12" ht="24.95" customHeight="1" thickBot="1" x14ac:dyDescent="0.25">
      <c r="A17" s="44">
        <v>0.5</v>
      </c>
      <c r="B17" s="29">
        <v>7.31</v>
      </c>
      <c r="C17" s="31"/>
      <c r="D17" s="29">
        <v>4.47</v>
      </c>
      <c r="E17" s="31"/>
      <c r="F17" s="46"/>
      <c r="G17" s="47"/>
      <c r="H17" s="14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17.809999999999999</v>
      </c>
      <c r="G19" s="47"/>
      <c r="H19" s="48"/>
      <c r="I19" s="52">
        <v>11.5</v>
      </c>
      <c r="J19" s="53"/>
      <c r="K19" s="26">
        <v>88.5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7.2</v>
      </c>
      <c r="J20" s="16">
        <v>4.3</v>
      </c>
      <c r="K20" s="27"/>
      <c r="L20" s="27"/>
    </row>
    <row r="21" spans="1:12" ht="50.1" customHeight="1" thickBot="1" x14ac:dyDescent="0.25">
      <c r="A21" s="1">
        <v>0.66666666666666663</v>
      </c>
      <c r="B21" s="28">
        <v>4.2</v>
      </c>
      <c r="C21" s="28"/>
      <c r="D21" s="28">
        <v>5.25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3.7</v>
      </c>
      <c r="C22" s="28"/>
      <c r="D22" s="28">
        <v>5.16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3.23</v>
      </c>
      <c r="C23" s="39"/>
      <c r="D23" s="38">
        <v>6.57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3.21</v>
      </c>
      <c r="C24" s="28"/>
      <c r="D24" s="28">
        <v>3.76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I17:J18"/>
    <mergeCell ref="K17:L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485" priority="25" operator="greaterThan">
      <formula>7</formula>
    </cfRule>
  </conditionalFormatting>
  <conditionalFormatting sqref="F9">
    <cfRule type="cellIs" dxfId="484" priority="24" operator="greaterThan">
      <formula>20</formula>
    </cfRule>
  </conditionalFormatting>
  <conditionalFormatting sqref="H9:J10">
    <cfRule type="cellIs" dxfId="483" priority="23" operator="lessThan">
      <formula>80</formula>
    </cfRule>
  </conditionalFormatting>
  <conditionalFormatting sqref="K9:L10">
    <cfRule type="cellIs" dxfId="482" priority="22" operator="greaterThan">
      <formula>0</formula>
    </cfRule>
  </conditionalFormatting>
  <conditionalFormatting sqref="B24:E24 B23 D23 B22:E22 B21:F21 B15 B19 D13 B13">
    <cfRule type="cellIs" dxfId="481" priority="21" operator="greaterThan">
      <formula>7</formula>
    </cfRule>
  </conditionalFormatting>
  <conditionalFormatting sqref="I15 I13">
    <cfRule type="cellIs" dxfId="480" priority="20" operator="greaterThan">
      <formula>20</formula>
    </cfRule>
  </conditionalFormatting>
  <conditionalFormatting sqref="K15 K13">
    <cfRule type="cellIs" dxfId="479" priority="19" stopIfTrue="1" operator="lessThan">
      <formula>80</formula>
    </cfRule>
  </conditionalFormatting>
  <conditionalFormatting sqref="L15 L13">
    <cfRule type="cellIs" dxfId="478" priority="18" operator="greaterThan">
      <formula>0</formula>
    </cfRule>
  </conditionalFormatting>
  <conditionalFormatting sqref="F15 F19 F13">
    <cfRule type="cellIs" dxfId="477" priority="17" stopIfTrue="1" operator="greaterThan">
      <formula>10</formula>
    </cfRule>
  </conditionalFormatting>
  <conditionalFormatting sqref="K19">
    <cfRule type="cellIs" dxfId="476" priority="16" stopIfTrue="1" operator="lessThan">
      <formula>80</formula>
    </cfRule>
  </conditionalFormatting>
  <conditionalFormatting sqref="I14:J14">
    <cfRule type="cellIs" dxfId="475" priority="15" operator="greaterThan">
      <formula>20</formula>
    </cfRule>
  </conditionalFormatting>
  <conditionalFormatting sqref="J16">
    <cfRule type="cellIs" dxfId="474" priority="14" operator="greaterThan">
      <formula>20</formula>
    </cfRule>
  </conditionalFormatting>
  <conditionalFormatting sqref="I16:I17">
    <cfRule type="cellIs" dxfId="473" priority="13" operator="greaterThan">
      <formula>20</formula>
    </cfRule>
  </conditionalFormatting>
  <conditionalFormatting sqref="I19">
    <cfRule type="cellIs" dxfId="472" priority="11" operator="greaterThan">
      <formula>20</formula>
    </cfRule>
  </conditionalFormatting>
  <conditionalFormatting sqref="I20">
    <cfRule type="cellIs" dxfId="471" priority="10" operator="greaterThan">
      <formula>20</formula>
    </cfRule>
  </conditionalFormatting>
  <conditionalFormatting sqref="J20">
    <cfRule type="cellIs" dxfId="470" priority="9" operator="greaterThan">
      <formula>20</formula>
    </cfRule>
  </conditionalFormatting>
  <conditionalFormatting sqref="D15">
    <cfRule type="cellIs" dxfId="469" priority="8" operator="greaterThan">
      <formula>7</formula>
    </cfRule>
  </conditionalFormatting>
  <conditionalFormatting sqref="D17">
    <cfRule type="cellIs" dxfId="468" priority="7" operator="greaterThan">
      <formula>7</formula>
    </cfRule>
  </conditionalFormatting>
  <conditionalFormatting sqref="B17">
    <cfRule type="cellIs" dxfId="467" priority="6" operator="greaterThan">
      <formula>7</formula>
    </cfRule>
  </conditionalFormatting>
  <conditionalFormatting sqref="L19">
    <cfRule type="cellIs" dxfId="466" priority="3" operator="greaterThan">
      <formula>0</formula>
    </cfRule>
  </conditionalFormatting>
  <conditionalFormatting sqref="F17">
    <cfRule type="cellIs" dxfId="465" priority="2" stopIfTrue="1" operator="greaterThan">
      <formula>10</formula>
    </cfRule>
  </conditionalFormatting>
  <conditionalFormatting sqref="K17">
    <cfRule type="cellIs" dxfId="464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6" zoomScale="59" zoomScaleNormal="100" zoomScaleSheetLayoutView="59" zoomScalePageLayoutView="80" workbookViewId="0">
      <selection activeCell="D19" sqref="D19:E2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37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524.1</v>
      </c>
      <c r="B9" s="62">
        <v>21</v>
      </c>
      <c r="C9" s="63"/>
      <c r="D9" s="29">
        <f>AVERAGE(B13:E24)</f>
        <v>4.5884615384615381</v>
      </c>
      <c r="E9" s="31"/>
      <c r="F9" s="52">
        <f>AVERAGE(I13,I15,I17,I19)</f>
        <v>12.633333333333335</v>
      </c>
      <c r="G9" s="53"/>
      <c r="H9" s="40">
        <f>AVERAGE(K13,K15,K17,K19)</f>
        <v>87.366666666666674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7.8999999999999995</v>
      </c>
      <c r="G10" s="3">
        <f>AVERAGE(J14,J16,J18,J20)</f>
        <v>4.7333333333333334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5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7.43</v>
      </c>
      <c r="C13" s="31"/>
      <c r="D13" s="29">
        <v>5.6</v>
      </c>
      <c r="E13" s="31"/>
      <c r="F13" s="46">
        <v>10.47</v>
      </c>
      <c r="G13" s="47"/>
      <c r="H13" s="48"/>
      <c r="I13" s="52">
        <v>13</v>
      </c>
      <c r="J13" s="53"/>
      <c r="K13" s="26">
        <v>87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7.7</v>
      </c>
      <c r="J14" s="16">
        <v>5.3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10.09</v>
      </c>
      <c r="G15" s="47"/>
      <c r="H15" s="48"/>
      <c r="I15" s="52">
        <v>12.1</v>
      </c>
      <c r="J15" s="53"/>
      <c r="K15" s="26">
        <v>87.9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7.8</v>
      </c>
      <c r="J16" s="16">
        <v>4.3</v>
      </c>
      <c r="K16" s="27"/>
      <c r="L16" s="27"/>
    </row>
    <row r="17" spans="1:12" ht="24.95" customHeight="1" thickBot="1" x14ac:dyDescent="0.25">
      <c r="A17" s="44">
        <v>0.5</v>
      </c>
      <c r="B17" s="29">
        <v>8.3000000000000007</v>
      </c>
      <c r="C17" s="31"/>
      <c r="D17" s="29">
        <v>3.74</v>
      </c>
      <c r="E17" s="31"/>
      <c r="F17" s="46"/>
      <c r="G17" s="47"/>
      <c r="H17" s="14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>
        <v>5.38</v>
      </c>
      <c r="C19" s="31"/>
      <c r="D19" s="29"/>
      <c r="E19" s="31"/>
      <c r="F19" s="46">
        <v>9.67</v>
      </c>
      <c r="G19" s="47"/>
      <c r="H19" s="48"/>
      <c r="I19" s="52">
        <v>12.8</v>
      </c>
      <c r="J19" s="53"/>
      <c r="K19" s="26">
        <v>87.2</v>
      </c>
      <c r="L19" s="26">
        <v>0</v>
      </c>
    </row>
    <row r="20" spans="1:12" ht="24.95" customHeight="1" thickBot="1" x14ac:dyDescent="0.25">
      <c r="A20" s="45"/>
      <c r="B20" s="35"/>
      <c r="C20" s="37"/>
      <c r="D20" s="35"/>
      <c r="E20" s="37"/>
      <c r="F20" s="49"/>
      <c r="G20" s="50"/>
      <c r="H20" s="51"/>
      <c r="I20" s="3">
        <v>8.1999999999999993</v>
      </c>
      <c r="J20" s="16">
        <v>4.5999999999999996</v>
      </c>
      <c r="K20" s="27"/>
      <c r="L20" s="27"/>
    </row>
    <row r="21" spans="1:12" ht="50.1" customHeight="1" thickBot="1" x14ac:dyDescent="0.25">
      <c r="A21" s="1">
        <v>0.66666666666666663</v>
      </c>
      <c r="B21" s="28">
        <v>4.32</v>
      </c>
      <c r="C21" s="28"/>
      <c r="D21" s="28">
        <v>3.88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3.82</v>
      </c>
      <c r="C22" s="28"/>
      <c r="D22" s="28">
        <v>3.14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1.43</v>
      </c>
      <c r="C23" s="39"/>
      <c r="D23" s="38">
        <v>2.61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6.04</v>
      </c>
      <c r="C24" s="28"/>
      <c r="D24" s="28">
        <v>3.96</v>
      </c>
      <c r="E24" s="28"/>
      <c r="F24" s="35"/>
      <c r="G24" s="36"/>
      <c r="H24" s="36"/>
      <c r="I24" s="36"/>
      <c r="J24" s="36"/>
      <c r="K24" s="36"/>
      <c r="L24" s="37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B19:C20"/>
    <mergeCell ref="D19:E20"/>
  </mergeCells>
  <conditionalFormatting sqref="D9">
    <cfRule type="cellIs" dxfId="463" priority="27" operator="greaterThan">
      <formula>7</formula>
    </cfRule>
  </conditionalFormatting>
  <conditionalFormatting sqref="F9">
    <cfRule type="cellIs" dxfId="462" priority="26" operator="greaterThan">
      <formula>20</formula>
    </cfRule>
  </conditionalFormatting>
  <conditionalFormatting sqref="H9:J10">
    <cfRule type="cellIs" dxfId="461" priority="25" operator="lessThan">
      <formula>80</formula>
    </cfRule>
  </conditionalFormatting>
  <conditionalFormatting sqref="K9:L10">
    <cfRule type="cellIs" dxfId="460" priority="24" operator="greaterThan">
      <formula>0</formula>
    </cfRule>
  </conditionalFormatting>
  <conditionalFormatting sqref="B24:E24 B23 D23 B22:E22 B21:F21 B15 D13 B13">
    <cfRule type="cellIs" dxfId="459" priority="23" operator="greaterThan">
      <formula>7</formula>
    </cfRule>
  </conditionalFormatting>
  <conditionalFormatting sqref="I15 I13">
    <cfRule type="cellIs" dxfId="458" priority="22" operator="greaterThan">
      <formula>20</formula>
    </cfRule>
  </conditionalFormatting>
  <conditionalFormatting sqref="K15 K13">
    <cfRule type="cellIs" dxfId="457" priority="21" stopIfTrue="1" operator="lessThan">
      <formula>80</formula>
    </cfRule>
  </conditionalFormatting>
  <conditionalFormatting sqref="L15 L13">
    <cfRule type="cellIs" dxfId="456" priority="20" operator="greaterThan">
      <formula>0</formula>
    </cfRule>
  </conditionalFormatting>
  <conditionalFormatting sqref="F15 F19 F13">
    <cfRule type="cellIs" dxfId="455" priority="19" stopIfTrue="1" operator="greaterThan">
      <formula>10</formula>
    </cfRule>
  </conditionalFormatting>
  <conditionalFormatting sqref="K19">
    <cfRule type="cellIs" dxfId="454" priority="18" stopIfTrue="1" operator="lessThan">
      <formula>80</formula>
    </cfRule>
  </conditionalFormatting>
  <conditionalFormatting sqref="I14:J14">
    <cfRule type="cellIs" dxfId="453" priority="17" operator="greaterThan">
      <formula>20</formula>
    </cfRule>
  </conditionalFormatting>
  <conditionalFormatting sqref="J16">
    <cfRule type="cellIs" dxfId="452" priority="16" operator="greaterThan">
      <formula>20</formula>
    </cfRule>
  </conditionalFormatting>
  <conditionalFormatting sqref="I16:I17">
    <cfRule type="cellIs" dxfId="451" priority="15" operator="greaterThan">
      <formula>20</formula>
    </cfRule>
  </conditionalFormatting>
  <conditionalFormatting sqref="I19">
    <cfRule type="cellIs" dxfId="450" priority="13" operator="greaterThan">
      <formula>20</formula>
    </cfRule>
  </conditionalFormatting>
  <conditionalFormatting sqref="I20">
    <cfRule type="cellIs" dxfId="449" priority="12" operator="greaterThan">
      <formula>20</formula>
    </cfRule>
  </conditionalFormatting>
  <conditionalFormatting sqref="J20">
    <cfRule type="cellIs" dxfId="448" priority="11" operator="greaterThan">
      <formula>20</formula>
    </cfRule>
  </conditionalFormatting>
  <conditionalFormatting sqref="D15">
    <cfRule type="cellIs" dxfId="447" priority="10" operator="greaterThan">
      <formula>7</formula>
    </cfRule>
  </conditionalFormatting>
  <conditionalFormatting sqref="D17">
    <cfRule type="cellIs" dxfId="446" priority="9" operator="greaterThan">
      <formula>7</formula>
    </cfRule>
  </conditionalFormatting>
  <conditionalFormatting sqref="B17">
    <cfRule type="cellIs" dxfId="445" priority="8" operator="greaterThan">
      <formula>7</formula>
    </cfRule>
  </conditionalFormatting>
  <conditionalFormatting sqref="L19">
    <cfRule type="cellIs" dxfId="444" priority="5" operator="greaterThan">
      <formula>0</formula>
    </cfRule>
  </conditionalFormatting>
  <conditionalFormatting sqref="F17">
    <cfRule type="cellIs" dxfId="443" priority="4" stopIfTrue="1" operator="greaterThan">
      <formula>10</formula>
    </cfRule>
  </conditionalFormatting>
  <conditionalFormatting sqref="K17">
    <cfRule type="cellIs" dxfId="442" priority="3" operator="greaterThan">
      <formula>20</formula>
    </cfRule>
  </conditionalFormatting>
  <conditionalFormatting sqref="D19">
    <cfRule type="cellIs" dxfId="441" priority="2" operator="greaterThan">
      <formula>7</formula>
    </cfRule>
  </conditionalFormatting>
  <conditionalFormatting sqref="B19">
    <cfRule type="cellIs" dxfId="440" priority="1" operator="greaterThan">
      <formula>7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8" zoomScaleNormal="100" zoomScaleSheetLayoutView="68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38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578.9</v>
      </c>
      <c r="B9" s="62">
        <v>23</v>
      </c>
      <c r="C9" s="63"/>
      <c r="D9" s="29">
        <f>AVERAGE(B13:E24)</f>
        <v>5.430714285714286</v>
      </c>
      <c r="E9" s="31"/>
      <c r="F9" s="52">
        <f>AVERAGE(I13,I15,I17,I19)</f>
        <v>12.966666666666669</v>
      </c>
      <c r="G9" s="53"/>
      <c r="H9" s="40">
        <v>87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8.1</v>
      </c>
      <c r="G10" s="3">
        <f>AVERAGE(J14,J16,J18,J20)</f>
        <v>4.8666666666666671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5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7.8</v>
      </c>
      <c r="C13" s="31"/>
      <c r="D13" s="29">
        <v>4.71</v>
      </c>
      <c r="E13" s="31"/>
      <c r="F13" s="46">
        <v>13.58</v>
      </c>
      <c r="G13" s="47"/>
      <c r="H13" s="48"/>
      <c r="I13" s="52">
        <v>12.6</v>
      </c>
      <c r="J13" s="53"/>
      <c r="K13" s="26">
        <v>87.6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8.1999999999999993</v>
      </c>
      <c r="J14" s="16">
        <v>4.4000000000000004</v>
      </c>
      <c r="K14" s="27"/>
      <c r="L14" s="27"/>
    </row>
    <row r="15" spans="1:12" ht="24.95" customHeight="1" thickBot="1" x14ac:dyDescent="0.25">
      <c r="A15" s="44">
        <v>0.41666666666666669</v>
      </c>
      <c r="B15" s="29">
        <v>9.0500000000000007</v>
      </c>
      <c r="C15" s="31"/>
      <c r="D15" s="29"/>
      <c r="E15" s="31"/>
      <c r="F15" s="46">
        <v>10.53</v>
      </c>
      <c r="G15" s="47"/>
      <c r="H15" s="48"/>
      <c r="I15" s="52">
        <v>12</v>
      </c>
      <c r="J15" s="53"/>
      <c r="K15" s="26">
        <v>88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7.3</v>
      </c>
      <c r="J16" s="16">
        <v>4.7</v>
      </c>
      <c r="K16" s="27"/>
      <c r="L16" s="27"/>
    </row>
    <row r="17" spans="1:12" ht="24.95" customHeight="1" thickBot="1" x14ac:dyDescent="0.25">
      <c r="A17" s="44">
        <v>0.5</v>
      </c>
      <c r="B17" s="29">
        <v>12.19</v>
      </c>
      <c r="C17" s="31"/>
      <c r="D17" s="29">
        <v>8.32</v>
      </c>
      <c r="E17" s="31"/>
      <c r="F17" s="46"/>
      <c r="G17" s="47"/>
      <c r="H17" s="14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29">
        <v>6.07</v>
      </c>
      <c r="E19" s="31"/>
      <c r="F19" s="46">
        <v>14.63</v>
      </c>
      <c r="G19" s="47"/>
      <c r="H19" s="48"/>
      <c r="I19" s="52">
        <v>14.3</v>
      </c>
      <c r="J19" s="53"/>
      <c r="K19" s="26">
        <v>85.7</v>
      </c>
      <c r="L19" s="26">
        <v>0</v>
      </c>
    </row>
    <row r="20" spans="1:12" ht="24.95" customHeight="1" thickBot="1" x14ac:dyDescent="0.25">
      <c r="A20" s="45"/>
      <c r="B20" s="35"/>
      <c r="C20" s="36"/>
      <c r="D20" s="35"/>
      <c r="E20" s="37"/>
      <c r="F20" s="49"/>
      <c r="G20" s="50"/>
      <c r="H20" s="51"/>
      <c r="I20" s="3">
        <v>8.8000000000000007</v>
      </c>
      <c r="J20" s="16">
        <v>5.5</v>
      </c>
      <c r="K20" s="27"/>
      <c r="L20" s="27"/>
    </row>
    <row r="21" spans="1:12" ht="50.1" customHeight="1" thickBot="1" x14ac:dyDescent="0.25">
      <c r="A21" s="1">
        <v>0.66666666666666663</v>
      </c>
      <c r="B21" s="28">
        <v>2.3199999999999998</v>
      </c>
      <c r="C21" s="28"/>
      <c r="D21" s="28">
        <v>3.72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6.83</v>
      </c>
      <c r="C22" s="28"/>
      <c r="D22" s="28">
        <v>4.2699999999999996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3.6</v>
      </c>
      <c r="C23" s="39"/>
      <c r="D23" s="38">
        <v>2.69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1.98</v>
      </c>
      <c r="C24" s="28"/>
      <c r="D24" s="28">
        <v>2.48</v>
      </c>
      <c r="E24" s="28"/>
      <c r="F24" s="35"/>
      <c r="G24" s="36"/>
      <c r="H24" s="36"/>
      <c r="I24" s="36"/>
      <c r="J24" s="36"/>
      <c r="K24" s="36"/>
      <c r="L24" s="37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B19:C20"/>
    <mergeCell ref="D19:E20"/>
  </mergeCells>
  <conditionalFormatting sqref="D9">
    <cfRule type="cellIs" dxfId="439" priority="25" operator="greaterThan">
      <formula>7</formula>
    </cfRule>
  </conditionalFormatting>
  <conditionalFormatting sqref="F9">
    <cfRule type="cellIs" dxfId="438" priority="24" operator="greaterThan">
      <formula>20</formula>
    </cfRule>
  </conditionalFormatting>
  <conditionalFormatting sqref="H9:J10">
    <cfRule type="cellIs" dxfId="437" priority="23" operator="lessThan">
      <formula>80</formula>
    </cfRule>
  </conditionalFormatting>
  <conditionalFormatting sqref="K9:L10">
    <cfRule type="cellIs" dxfId="436" priority="22" operator="greaterThan">
      <formula>0</formula>
    </cfRule>
  </conditionalFormatting>
  <conditionalFormatting sqref="B24:E24 B23 D23 B22:E22 B21:F21 B15 B19 D13 B13">
    <cfRule type="cellIs" dxfId="435" priority="21" operator="greaterThan">
      <formula>7</formula>
    </cfRule>
  </conditionalFormatting>
  <conditionalFormatting sqref="I15 I13">
    <cfRule type="cellIs" dxfId="434" priority="20" operator="greaterThan">
      <formula>20</formula>
    </cfRule>
  </conditionalFormatting>
  <conditionalFormatting sqref="K15 K13">
    <cfRule type="cellIs" dxfId="433" priority="19" stopIfTrue="1" operator="lessThan">
      <formula>80</formula>
    </cfRule>
  </conditionalFormatting>
  <conditionalFormatting sqref="L15 L13">
    <cfRule type="cellIs" dxfId="432" priority="18" operator="greaterThan">
      <formula>0</formula>
    </cfRule>
  </conditionalFormatting>
  <conditionalFormatting sqref="F15 F19 F13">
    <cfRule type="cellIs" dxfId="431" priority="17" stopIfTrue="1" operator="greaterThan">
      <formula>10</formula>
    </cfRule>
  </conditionalFormatting>
  <conditionalFormatting sqref="K19">
    <cfRule type="cellIs" dxfId="430" priority="16" stopIfTrue="1" operator="lessThan">
      <formula>80</formula>
    </cfRule>
  </conditionalFormatting>
  <conditionalFormatting sqref="I14:J14">
    <cfRule type="cellIs" dxfId="429" priority="15" operator="greaterThan">
      <formula>20</formula>
    </cfRule>
  </conditionalFormatting>
  <conditionalFormatting sqref="J16">
    <cfRule type="cellIs" dxfId="428" priority="14" operator="greaterThan">
      <formula>20</formula>
    </cfRule>
  </conditionalFormatting>
  <conditionalFormatting sqref="I16:I17">
    <cfRule type="cellIs" dxfId="427" priority="13" operator="greaterThan">
      <formula>20</formula>
    </cfRule>
  </conditionalFormatting>
  <conditionalFormatting sqref="I19">
    <cfRule type="cellIs" dxfId="426" priority="11" operator="greaterThan">
      <formula>20</formula>
    </cfRule>
  </conditionalFormatting>
  <conditionalFormatting sqref="I20">
    <cfRule type="cellIs" dxfId="425" priority="10" operator="greaterThan">
      <formula>20</formula>
    </cfRule>
  </conditionalFormatting>
  <conditionalFormatting sqref="J20">
    <cfRule type="cellIs" dxfId="424" priority="9" operator="greaterThan">
      <formula>20</formula>
    </cfRule>
  </conditionalFormatting>
  <conditionalFormatting sqref="D15">
    <cfRule type="cellIs" dxfId="423" priority="8" operator="greaterThan">
      <formula>7</formula>
    </cfRule>
  </conditionalFormatting>
  <conditionalFormatting sqref="D17">
    <cfRule type="cellIs" dxfId="422" priority="7" operator="greaterThan">
      <formula>7</formula>
    </cfRule>
  </conditionalFormatting>
  <conditionalFormatting sqref="B17">
    <cfRule type="cellIs" dxfId="421" priority="6" operator="greaterThan">
      <formula>7</formula>
    </cfRule>
  </conditionalFormatting>
  <conditionalFormatting sqref="L19">
    <cfRule type="cellIs" dxfId="420" priority="3" operator="greaterThan">
      <formula>0</formula>
    </cfRule>
  </conditionalFormatting>
  <conditionalFormatting sqref="F17">
    <cfRule type="cellIs" dxfId="419" priority="2" stopIfTrue="1" operator="greaterThan">
      <formula>10</formula>
    </cfRule>
  </conditionalFormatting>
  <conditionalFormatting sqref="K17">
    <cfRule type="cellIs" dxfId="41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6" zoomScale="59" zoomScaleNormal="100" zoomScaleSheetLayoutView="59" zoomScalePageLayoutView="80" workbookViewId="0">
      <selection activeCell="E25" sqref="E2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39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790.1</v>
      </c>
      <c r="B9" s="62">
        <v>31</v>
      </c>
      <c r="C9" s="63"/>
      <c r="D9" s="29">
        <f>AVERAGE(B13:E24)</f>
        <v>4.58357142857143</v>
      </c>
      <c r="E9" s="31"/>
      <c r="F9" s="52">
        <f>AVERAGE(I13,I15,I17,I19)</f>
        <v>11.799999999999999</v>
      </c>
      <c r="G9" s="53"/>
      <c r="H9" s="40">
        <f>AVERAGE(K13,K15,K17,K19)</f>
        <v>88.2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6.9333333333333336</v>
      </c>
      <c r="G10" s="3">
        <f>AVERAGE(J14,J16,J18,J20)</f>
        <v>4.8666666666666663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5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11.06</v>
      </c>
      <c r="C13" s="31"/>
      <c r="D13" s="29">
        <v>10.01</v>
      </c>
      <c r="E13" s="31"/>
      <c r="F13" s="46">
        <v>10.64</v>
      </c>
      <c r="G13" s="47"/>
      <c r="H13" s="48"/>
      <c r="I13" s="52">
        <v>12.4</v>
      </c>
      <c r="J13" s="53"/>
      <c r="K13" s="26">
        <v>87.6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7.9</v>
      </c>
      <c r="J14" s="16">
        <v>4.5</v>
      </c>
      <c r="K14" s="27"/>
      <c r="L14" s="27"/>
    </row>
    <row r="15" spans="1:12" ht="24.95" customHeight="1" thickBot="1" x14ac:dyDescent="0.25">
      <c r="A15" s="44">
        <v>0.41666666666666669</v>
      </c>
      <c r="B15" s="29">
        <v>7.01</v>
      </c>
      <c r="C15" s="31"/>
      <c r="D15" s="29">
        <v>7.23</v>
      </c>
      <c r="E15" s="31"/>
      <c r="F15" s="46">
        <v>8.82</v>
      </c>
      <c r="G15" s="47"/>
      <c r="H15" s="48"/>
      <c r="I15" s="52">
        <v>12.1</v>
      </c>
      <c r="J15" s="53"/>
      <c r="K15" s="26">
        <v>87.9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6.4</v>
      </c>
      <c r="J16" s="16">
        <v>5.7</v>
      </c>
      <c r="K16" s="27"/>
      <c r="L16" s="27"/>
    </row>
    <row r="17" spans="1:12" ht="24.95" customHeight="1" thickBot="1" x14ac:dyDescent="0.25">
      <c r="A17" s="44">
        <v>0.5</v>
      </c>
      <c r="B17" s="29">
        <v>6.88</v>
      </c>
      <c r="C17" s="31"/>
      <c r="D17" s="29">
        <v>3.66</v>
      </c>
      <c r="E17" s="31"/>
      <c r="F17" s="46"/>
      <c r="G17" s="47"/>
      <c r="H17" s="14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8.6</v>
      </c>
      <c r="G19" s="47"/>
      <c r="H19" s="48"/>
      <c r="I19" s="52">
        <v>10.9</v>
      </c>
      <c r="J19" s="53"/>
      <c r="K19" s="26">
        <v>89.1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6.5</v>
      </c>
      <c r="J20" s="16">
        <v>4.4000000000000004</v>
      </c>
      <c r="K20" s="27"/>
      <c r="L20" s="27"/>
    </row>
    <row r="21" spans="1:12" ht="50.1" customHeight="1" thickBot="1" x14ac:dyDescent="0.25">
      <c r="A21" s="1">
        <v>0.66666666666666663</v>
      </c>
      <c r="B21" s="28">
        <v>2.4700000000000002</v>
      </c>
      <c r="C21" s="28"/>
      <c r="D21" s="28">
        <v>3.31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3.46</v>
      </c>
      <c r="C22" s="28"/>
      <c r="D22" s="28">
        <v>1.43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2.88</v>
      </c>
      <c r="C23" s="39"/>
      <c r="D23" s="38">
        <v>0.97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1.47</v>
      </c>
      <c r="C24" s="28"/>
      <c r="D24" s="28">
        <v>2.33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417" priority="25" operator="greaterThan">
      <formula>7</formula>
    </cfRule>
  </conditionalFormatting>
  <conditionalFormatting sqref="F9">
    <cfRule type="cellIs" dxfId="416" priority="24" operator="greaterThan">
      <formula>20</formula>
    </cfRule>
  </conditionalFormatting>
  <conditionalFormatting sqref="H9:J10">
    <cfRule type="cellIs" dxfId="415" priority="23" operator="lessThan">
      <formula>80</formula>
    </cfRule>
  </conditionalFormatting>
  <conditionalFormatting sqref="K9:L10">
    <cfRule type="cellIs" dxfId="414" priority="22" operator="greaterThan">
      <formula>0</formula>
    </cfRule>
  </conditionalFormatting>
  <conditionalFormatting sqref="B24:E24 B23 D23 B22:E22 B21:F21 B15 B19 D13 B13">
    <cfRule type="cellIs" dxfId="413" priority="21" operator="greaterThan">
      <formula>7</formula>
    </cfRule>
  </conditionalFormatting>
  <conditionalFormatting sqref="I15 I13">
    <cfRule type="cellIs" dxfId="412" priority="20" operator="greaterThan">
      <formula>20</formula>
    </cfRule>
  </conditionalFormatting>
  <conditionalFormatting sqref="K15 K13">
    <cfRule type="cellIs" dxfId="411" priority="19" stopIfTrue="1" operator="lessThan">
      <formula>80</formula>
    </cfRule>
  </conditionalFormatting>
  <conditionalFormatting sqref="L15 L13">
    <cfRule type="cellIs" dxfId="410" priority="18" operator="greaterThan">
      <formula>0</formula>
    </cfRule>
  </conditionalFormatting>
  <conditionalFormatting sqref="F15 F19 F13">
    <cfRule type="cellIs" dxfId="409" priority="17" stopIfTrue="1" operator="greaterThan">
      <formula>10</formula>
    </cfRule>
  </conditionalFormatting>
  <conditionalFormatting sqref="K19">
    <cfRule type="cellIs" dxfId="408" priority="16" stopIfTrue="1" operator="lessThan">
      <formula>80</formula>
    </cfRule>
  </conditionalFormatting>
  <conditionalFormatting sqref="I14:J14">
    <cfRule type="cellIs" dxfId="407" priority="15" operator="greaterThan">
      <formula>20</formula>
    </cfRule>
  </conditionalFormatting>
  <conditionalFormatting sqref="J16">
    <cfRule type="cellIs" dxfId="406" priority="14" operator="greaterThan">
      <formula>20</formula>
    </cfRule>
  </conditionalFormatting>
  <conditionalFormatting sqref="I16:I17">
    <cfRule type="cellIs" dxfId="405" priority="13" operator="greaterThan">
      <formula>20</formula>
    </cfRule>
  </conditionalFormatting>
  <conditionalFormatting sqref="I19">
    <cfRule type="cellIs" dxfId="404" priority="11" operator="greaterThan">
      <formula>20</formula>
    </cfRule>
  </conditionalFormatting>
  <conditionalFormatting sqref="I20">
    <cfRule type="cellIs" dxfId="403" priority="10" operator="greaterThan">
      <formula>20</formula>
    </cfRule>
  </conditionalFormatting>
  <conditionalFormatting sqref="J20">
    <cfRule type="cellIs" dxfId="402" priority="9" operator="greaterThan">
      <formula>20</formula>
    </cfRule>
  </conditionalFormatting>
  <conditionalFormatting sqref="D15">
    <cfRule type="cellIs" dxfId="401" priority="8" operator="greaterThan">
      <formula>7</formula>
    </cfRule>
  </conditionalFormatting>
  <conditionalFormatting sqref="D17">
    <cfRule type="cellIs" dxfId="400" priority="7" operator="greaterThan">
      <formula>7</formula>
    </cfRule>
  </conditionalFormatting>
  <conditionalFormatting sqref="B17">
    <cfRule type="cellIs" dxfId="399" priority="6" operator="greaterThan">
      <formula>7</formula>
    </cfRule>
  </conditionalFormatting>
  <conditionalFormatting sqref="L19">
    <cfRule type="cellIs" dxfId="398" priority="3" operator="greaterThan">
      <formula>0</formula>
    </cfRule>
  </conditionalFormatting>
  <conditionalFormatting sqref="F17">
    <cfRule type="cellIs" dxfId="397" priority="2" stopIfTrue="1" operator="greaterThan">
      <formula>10</formula>
    </cfRule>
  </conditionalFormatting>
  <conditionalFormatting sqref="K17">
    <cfRule type="cellIs" dxfId="396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4" zoomScale="60" zoomScaleNormal="100" zoomScalePageLayoutView="80" workbookViewId="0">
      <selection activeCell="B11" sqref="B11:C12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40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764.9</v>
      </c>
      <c r="B9" s="62">
        <v>30</v>
      </c>
      <c r="C9" s="63"/>
      <c r="D9" s="29">
        <f>AVERAGE(B13:E24)</f>
        <v>3.6641666666666661</v>
      </c>
      <c r="E9" s="31"/>
      <c r="F9" s="52">
        <f>AVERAGE(I13,I15,I17,I19)</f>
        <v>12.766666666666667</v>
      </c>
      <c r="G9" s="53"/>
      <c r="H9" s="40">
        <f>AVERAGE(K13,K15,K17,K19)</f>
        <v>87.233333333333348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8.3666666666666671</v>
      </c>
      <c r="G10" s="3">
        <f>AVERAGE(J14,J16,J18,J20)</f>
        <v>4.3999999999999995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8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5.9</v>
      </c>
      <c r="C13" s="31"/>
      <c r="D13" s="29">
        <v>2.13</v>
      </c>
      <c r="E13" s="31"/>
      <c r="F13" s="46">
        <v>2.4</v>
      </c>
      <c r="G13" s="47"/>
      <c r="H13" s="48"/>
      <c r="I13" s="52">
        <v>12.9</v>
      </c>
      <c r="J13" s="53"/>
      <c r="K13" s="26">
        <v>87.1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8</v>
      </c>
      <c r="J14" s="19">
        <v>4.9000000000000004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1.86</v>
      </c>
      <c r="G15" s="47"/>
      <c r="H15" s="48"/>
      <c r="I15" s="52">
        <v>10.8</v>
      </c>
      <c r="J15" s="53"/>
      <c r="K15" s="26">
        <v>89.2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7.2</v>
      </c>
      <c r="J16" s="19">
        <v>3.6</v>
      </c>
      <c r="K16" s="27"/>
      <c r="L16" s="27"/>
    </row>
    <row r="17" spans="1:12" ht="24.95" customHeight="1" thickBot="1" x14ac:dyDescent="0.25">
      <c r="A17" s="44">
        <v>0.5</v>
      </c>
      <c r="B17" s="29">
        <v>1.61</v>
      </c>
      <c r="C17" s="31"/>
      <c r="D17" s="29">
        <v>2.61</v>
      </c>
      <c r="E17" s="31"/>
      <c r="F17" s="46"/>
      <c r="G17" s="47"/>
      <c r="H17" s="17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29"/>
      <c r="E19" s="31"/>
      <c r="F19" s="46">
        <v>1.85</v>
      </c>
      <c r="G19" s="47"/>
      <c r="H19" s="48"/>
      <c r="I19" s="52">
        <v>14.6</v>
      </c>
      <c r="J19" s="53"/>
      <c r="K19" s="26">
        <v>85.4</v>
      </c>
      <c r="L19" s="26">
        <v>0</v>
      </c>
    </row>
    <row r="20" spans="1:12" ht="24.95" customHeight="1" thickBot="1" x14ac:dyDescent="0.25">
      <c r="A20" s="45"/>
      <c r="B20" s="35"/>
      <c r="C20" s="36"/>
      <c r="D20" s="35"/>
      <c r="E20" s="37"/>
      <c r="F20" s="49"/>
      <c r="G20" s="50"/>
      <c r="H20" s="51"/>
      <c r="I20" s="3">
        <v>9.9</v>
      </c>
      <c r="J20" s="19">
        <v>4.7</v>
      </c>
      <c r="K20" s="27"/>
      <c r="L20" s="27"/>
    </row>
    <row r="21" spans="1:12" ht="50.1" customHeight="1" thickBot="1" x14ac:dyDescent="0.25">
      <c r="A21" s="1">
        <v>0.66666666666666663</v>
      </c>
      <c r="B21" s="28">
        <v>4.2</v>
      </c>
      <c r="C21" s="28"/>
      <c r="D21" s="28">
        <v>2.2000000000000002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3.93</v>
      </c>
      <c r="C22" s="28"/>
      <c r="D22" s="28">
        <v>5.03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5.15</v>
      </c>
      <c r="C23" s="39"/>
      <c r="D23" s="38">
        <v>3.33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6.01</v>
      </c>
      <c r="C24" s="28"/>
      <c r="D24" s="28">
        <v>1.87</v>
      </c>
      <c r="E24" s="28"/>
      <c r="F24" s="35"/>
      <c r="G24" s="36"/>
      <c r="H24" s="36"/>
      <c r="I24" s="36"/>
      <c r="J24" s="36"/>
      <c r="K24" s="36"/>
      <c r="L24" s="37"/>
    </row>
  </sheetData>
  <mergeCells count="68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11:K12"/>
    <mergeCell ref="K7:L8"/>
    <mergeCell ref="A9:A10"/>
    <mergeCell ref="B9:C10"/>
    <mergeCell ref="D9:E10"/>
    <mergeCell ref="F9:G9"/>
    <mergeCell ref="H9:J10"/>
    <mergeCell ref="A7:A8"/>
    <mergeCell ref="B7:C8"/>
    <mergeCell ref="D7:E8"/>
    <mergeCell ref="F7:G7"/>
    <mergeCell ref="H7:J8"/>
    <mergeCell ref="K9:L10"/>
    <mergeCell ref="A19:A20"/>
    <mergeCell ref="F19:H20"/>
    <mergeCell ref="I19:J19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L15:L16"/>
    <mergeCell ref="A17:A18"/>
    <mergeCell ref="B17:C18"/>
    <mergeCell ref="D17:E18"/>
    <mergeCell ref="F17:G18"/>
    <mergeCell ref="A15:A16"/>
    <mergeCell ref="B15:C16"/>
    <mergeCell ref="D15:E16"/>
    <mergeCell ref="F15:H16"/>
    <mergeCell ref="I15:J15"/>
    <mergeCell ref="K15:K16"/>
    <mergeCell ref="K17:L18"/>
    <mergeCell ref="I17:J18"/>
    <mergeCell ref="K19:K20"/>
    <mergeCell ref="D19:E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B19:C20"/>
  </mergeCells>
  <conditionalFormatting sqref="D9">
    <cfRule type="cellIs" dxfId="395" priority="25" operator="greaterThan">
      <formula>7</formula>
    </cfRule>
  </conditionalFormatting>
  <conditionalFormatting sqref="F9">
    <cfRule type="cellIs" dxfId="394" priority="24" operator="greaterThan">
      <formula>20</formula>
    </cfRule>
  </conditionalFormatting>
  <conditionalFormatting sqref="H9:J10">
    <cfRule type="cellIs" dxfId="393" priority="23" operator="lessThan">
      <formula>80</formula>
    </cfRule>
  </conditionalFormatting>
  <conditionalFormatting sqref="K9:L10">
    <cfRule type="cellIs" dxfId="392" priority="22" operator="greaterThan">
      <formula>0</formula>
    </cfRule>
  </conditionalFormatting>
  <conditionalFormatting sqref="B24:E24 B23 D23 B22:E22 B21:F21 B15 B19 D13 B13">
    <cfRule type="cellIs" dxfId="391" priority="21" operator="greaterThan">
      <formula>7</formula>
    </cfRule>
  </conditionalFormatting>
  <conditionalFormatting sqref="I15 I13">
    <cfRule type="cellIs" dxfId="390" priority="20" operator="greaterThan">
      <formula>20</formula>
    </cfRule>
  </conditionalFormatting>
  <conditionalFormatting sqref="K15 K13">
    <cfRule type="cellIs" dxfId="389" priority="19" stopIfTrue="1" operator="lessThan">
      <formula>80</formula>
    </cfRule>
  </conditionalFormatting>
  <conditionalFormatting sqref="L15 L13">
    <cfRule type="cellIs" dxfId="388" priority="18" operator="greaterThan">
      <formula>0</formula>
    </cfRule>
  </conditionalFormatting>
  <conditionalFormatting sqref="F15 F19 F13">
    <cfRule type="cellIs" dxfId="387" priority="17" stopIfTrue="1" operator="greaterThan">
      <formula>10</formula>
    </cfRule>
  </conditionalFormatting>
  <conditionalFormatting sqref="K19">
    <cfRule type="cellIs" dxfId="386" priority="16" stopIfTrue="1" operator="lessThan">
      <formula>80</formula>
    </cfRule>
  </conditionalFormatting>
  <conditionalFormatting sqref="I14:J14">
    <cfRule type="cellIs" dxfId="385" priority="15" operator="greaterThan">
      <formula>20</formula>
    </cfRule>
  </conditionalFormatting>
  <conditionalFormatting sqref="J16">
    <cfRule type="cellIs" dxfId="384" priority="14" operator="greaterThan">
      <formula>20</formula>
    </cfRule>
  </conditionalFormatting>
  <conditionalFormatting sqref="I16:I17">
    <cfRule type="cellIs" dxfId="383" priority="13" operator="greaterThan">
      <formula>20</formula>
    </cfRule>
  </conditionalFormatting>
  <conditionalFormatting sqref="I19">
    <cfRule type="cellIs" dxfId="382" priority="11" operator="greaterThan">
      <formula>20</formula>
    </cfRule>
  </conditionalFormatting>
  <conditionalFormatting sqref="I20">
    <cfRule type="cellIs" dxfId="381" priority="10" operator="greaterThan">
      <formula>20</formula>
    </cfRule>
  </conditionalFormatting>
  <conditionalFormatting sqref="J20">
    <cfRule type="cellIs" dxfId="380" priority="9" operator="greaterThan">
      <formula>20</formula>
    </cfRule>
  </conditionalFormatting>
  <conditionalFormatting sqref="D15">
    <cfRule type="cellIs" dxfId="379" priority="8" operator="greaterThan">
      <formula>7</formula>
    </cfRule>
  </conditionalFormatting>
  <conditionalFormatting sqref="D17">
    <cfRule type="cellIs" dxfId="378" priority="7" operator="greaterThan">
      <formula>7</formula>
    </cfRule>
  </conditionalFormatting>
  <conditionalFormatting sqref="B17">
    <cfRule type="cellIs" dxfId="377" priority="6" operator="greaterThan">
      <formula>7</formula>
    </cfRule>
  </conditionalFormatting>
  <conditionalFormatting sqref="L19">
    <cfRule type="cellIs" dxfId="376" priority="3" operator="greaterThan">
      <formula>0</formula>
    </cfRule>
  </conditionalFormatting>
  <conditionalFormatting sqref="F17">
    <cfRule type="cellIs" dxfId="375" priority="2" stopIfTrue="1" operator="greaterThan">
      <formula>10</formula>
    </cfRule>
  </conditionalFormatting>
  <conditionalFormatting sqref="K17">
    <cfRule type="cellIs" dxfId="374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3" zoomScale="68" zoomScaleNormal="100" zoomScaleSheetLayoutView="68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41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790.1</v>
      </c>
      <c r="B9" s="62">
        <v>30</v>
      </c>
      <c r="C9" s="63"/>
      <c r="D9" s="29">
        <f>AVERAGE(B13:E24)</f>
        <v>3.9216666666666664</v>
      </c>
      <c r="E9" s="31"/>
      <c r="F9" s="52">
        <f>AVERAGE(I13,I15,I17,I19)</f>
        <v>10.7</v>
      </c>
      <c r="G9" s="53"/>
      <c r="H9" s="40">
        <f>AVERAGE(K13,K15,K17,K19)</f>
        <v>89.3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6.8</v>
      </c>
      <c r="G10" s="3">
        <f>AVERAGE(J14,J16,J18,J20)</f>
        <v>3.9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8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3.92</v>
      </c>
      <c r="C13" s="31"/>
      <c r="D13" s="29">
        <v>1.86</v>
      </c>
      <c r="E13" s="31"/>
      <c r="F13" s="46">
        <v>5.07</v>
      </c>
      <c r="G13" s="47"/>
      <c r="H13" s="48"/>
      <c r="I13" s="52">
        <v>10.7</v>
      </c>
      <c r="J13" s="53"/>
      <c r="K13" s="26">
        <v>89.3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6.8</v>
      </c>
      <c r="J14" s="19">
        <v>3.9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19"/>
      <c r="K16" s="27"/>
      <c r="L16" s="27"/>
    </row>
    <row r="17" spans="1:12" ht="24.95" customHeight="1" thickBot="1" x14ac:dyDescent="0.25">
      <c r="A17" s="44">
        <v>0.5</v>
      </c>
      <c r="B17" s="29">
        <v>5.15</v>
      </c>
      <c r="C17" s="31"/>
      <c r="D17" s="29">
        <v>3.78</v>
      </c>
      <c r="E17" s="31"/>
      <c r="F17" s="46"/>
      <c r="G17" s="47"/>
      <c r="H17" s="17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19"/>
      <c r="K20" s="27"/>
      <c r="L20" s="27"/>
    </row>
    <row r="21" spans="1:12" ht="50.1" customHeight="1" thickBot="1" x14ac:dyDescent="0.25">
      <c r="A21" s="1">
        <v>0.66666666666666663</v>
      </c>
      <c r="B21" s="28">
        <v>2.48</v>
      </c>
      <c r="C21" s="28"/>
      <c r="D21" s="28">
        <v>3.56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2.97</v>
      </c>
      <c r="C22" s="28"/>
      <c r="D22" s="28">
        <v>5.24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6.03</v>
      </c>
      <c r="C23" s="39"/>
      <c r="D23" s="38">
        <v>4.3600000000000003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3.06</v>
      </c>
      <c r="C24" s="28"/>
      <c r="D24" s="28">
        <v>4.6500000000000004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373" priority="25" operator="greaterThan">
      <formula>7</formula>
    </cfRule>
  </conditionalFormatting>
  <conditionalFormatting sqref="F9">
    <cfRule type="cellIs" dxfId="372" priority="24" operator="greaterThan">
      <formula>20</formula>
    </cfRule>
  </conditionalFormatting>
  <conditionalFormatting sqref="H9:J10">
    <cfRule type="cellIs" dxfId="371" priority="23" operator="lessThan">
      <formula>80</formula>
    </cfRule>
  </conditionalFormatting>
  <conditionalFormatting sqref="K9:L10">
    <cfRule type="cellIs" dxfId="370" priority="22" operator="greaterThan">
      <formula>0</formula>
    </cfRule>
  </conditionalFormatting>
  <conditionalFormatting sqref="B24:E24 B23 D23 B22:E22 B21:F21 B15 B19 D13 B13">
    <cfRule type="cellIs" dxfId="369" priority="21" operator="greaterThan">
      <formula>7</formula>
    </cfRule>
  </conditionalFormatting>
  <conditionalFormatting sqref="I15 I13">
    <cfRule type="cellIs" dxfId="368" priority="20" operator="greaterThan">
      <formula>20</formula>
    </cfRule>
  </conditionalFormatting>
  <conditionalFormatting sqref="K15 K13">
    <cfRule type="cellIs" dxfId="367" priority="19" stopIfTrue="1" operator="lessThan">
      <formula>80</formula>
    </cfRule>
  </conditionalFormatting>
  <conditionalFormatting sqref="L15 L13">
    <cfRule type="cellIs" dxfId="366" priority="18" operator="greaterThan">
      <formula>0</formula>
    </cfRule>
  </conditionalFormatting>
  <conditionalFormatting sqref="F15 F19 F13">
    <cfRule type="cellIs" dxfId="365" priority="17" stopIfTrue="1" operator="greaterThan">
      <formula>10</formula>
    </cfRule>
  </conditionalFormatting>
  <conditionalFormatting sqref="K19">
    <cfRule type="cellIs" dxfId="364" priority="16" stopIfTrue="1" operator="lessThan">
      <formula>80</formula>
    </cfRule>
  </conditionalFormatting>
  <conditionalFormatting sqref="I14:J14">
    <cfRule type="cellIs" dxfId="363" priority="15" operator="greaterThan">
      <formula>20</formula>
    </cfRule>
  </conditionalFormatting>
  <conditionalFormatting sqref="J16">
    <cfRule type="cellIs" dxfId="362" priority="14" operator="greaterThan">
      <formula>20</formula>
    </cfRule>
  </conditionalFormatting>
  <conditionalFormatting sqref="I16:I17">
    <cfRule type="cellIs" dxfId="361" priority="13" operator="greaterThan">
      <formula>20</formula>
    </cfRule>
  </conditionalFormatting>
  <conditionalFormatting sqref="I19">
    <cfRule type="cellIs" dxfId="360" priority="11" operator="greaterThan">
      <formula>20</formula>
    </cfRule>
  </conditionalFormatting>
  <conditionalFormatting sqref="I20">
    <cfRule type="cellIs" dxfId="359" priority="10" operator="greaterThan">
      <formula>20</formula>
    </cfRule>
  </conditionalFormatting>
  <conditionalFormatting sqref="J20">
    <cfRule type="cellIs" dxfId="358" priority="9" operator="greaterThan">
      <formula>20</formula>
    </cfRule>
  </conditionalFormatting>
  <conditionalFormatting sqref="D15">
    <cfRule type="cellIs" dxfId="357" priority="8" operator="greaterThan">
      <formula>7</formula>
    </cfRule>
  </conditionalFormatting>
  <conditionalFormatting sqref="D17">
    <cfRule type="cellIs" dxfId="356" priority="7" operator="greaterThan">
      <formula>7</formula>
    </cfRule>
  </conditionalFormatting>
  <conditionalFormatting sqref="B17">
    <cfRule type="cellIs" dxfId="355" priority="6" operator="greaterThan">
      <formula>7</formula>
    </cfRule>
  </conditionalFormatting>
  <conditionalFormatting sqref="L19">
    <cfRule type="cellIs" dxfId="354" priority="3" operator="greaterThan">
      <formula>0</formula>
    </cfRule>
  </conditionalFormatting>
  <conditionalFormatting sqref="F17">
    <cfRule type="cellIs" dxfId="353" priority="2" stopIfTrue="1" operator="greaterThan">
      <formula>10</formula>
    </cfRule>
  </conditionalFormatting>
  <conditionalFormatting sqref="K17">
    <cfRule type="cellIs" dxfId="352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82" zoomScaleNormal="100" zoomScaleSheetLayoutView="82" zoomScalePageLayoutView="80" workbookViewId="0">
      <selection activeCell="B11" sqref="B11:C12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42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525.9</v>
      </c>
      <c r="B9" s="62">
        <v>21</v>
      </c>
      <c r="C9" s="63"/>
      <c r="D9" s="29">
        <f>AVERAGE(B13:E24)</f>
        <v>3.7050000000000001</v>
      </c>
      <c r="E9" s="31"/>
      <c r="F9" s="52">
        <f>AVERAGE(I13,I15,I17,I19)</f>
        <v>4.5</v>
      </c>
      <c r="G9" s="53"/>
      <c r="H9" s="40">
        <f>AVERAGE(K13,K15,K17,K19)</f>
        <v>95.5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2.1</v>
      </c>
      <c r="G10" s="3">
        <f>AVERAGE(J14,J16,J18,J20)</f>
        <v>2.4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8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3.49</v>
      </c>
      <c r="C13" s="31"/>
      <c r="D13" s="29">
        <v>1.95</v>
      </c>
      <c r="E13" s="31"/>
      <c r="F13" s="46">
        <v>5.46</v>
      </c>
      <c r="G13" s="47"/>
      <c r="H13" s="48"/>
      <c r="I13" s="52">
        <v>4.5</v>
      </c>
      <c r="J13" s="53"/>
      <c r="K13" s="26">
        <v>95.5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2.1</v>
      </c>
      <c r="J14" s="19">
        <v>2.4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19"/>
      <c r="K16" s="27"/>
      <c r="L16" s="27"/>
    </row>
    <row r="17" spans="1:12" ht="24.95" customHeight="1" thickBot="1" x14ac:dyDescent="0.25">
      <c r="A17" s="44">
        <v>0.5</v>
      </c>
      <c r="B17" s="29">
        <v>4.04</v>
      </c>
      <c r="C17" s="31"/>
      <c r="D17" s="29">
        <v>5.74</v>
      </c>
      <c r="E17" s="31"/>
      <c r="F17" s="46"/>
      <c r="G17" s="47"/>
      <c r="H17" s="17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19"/>
      <c r="K20" s="27"/>
      <c r="L20" s="27"/>
    </row>
    <row r="21" spans="1:12" ht="50.1" customHeight="1" thickBot="1" x14ac:dyDescent="0.25">
      <c r="A21" s="1">
        <v>0.66666666666666663</v>
      </c>
      <c r="B21" s="28">
        <v>3.35</v>
      </c>
      <c r="C21" s="28"/>
      <c r="D21" s="28">
        <v>3.07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3.13</v>
      </c>
      <c r="C22" s="28"/>
      <c r="D22" s="28">
        <v>5.59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3.4</v>
      </c>
      <c r="C23" s="39"/>
      <c r="D23" s="38">
        <v>4.5599999999999996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5.07</v>
      </c>
      <c r="C24" s="28"/>
      <c r="D24" s="28">
        <v>1.07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351" priority="25" operator="greaterThan">
      <formula>7</formula>
    </cfRule>
  </conditionalFormatting>
  <conditionalFormatting sqref="F9">
    <cfRule type="cellIs" dxfId="350" priority="24" operator="greaterThan">
      <formula>20</formula>
    </cfRule>
  </conditionalFormatting>
  <conditionalFormatting sqref="H9:J10">
    <cfRule type="cellIs" dxfId="349" priority="23" operator="lessThan">
      <formula>80</formula>
    </cfRule>
  </conditionalFormatting>
  <conditionalFormatting sqref="K9:L10">
    <cfRule type="cellIs" dxfId="348" priority="22" operator="greaterThan">
      <formula>0</formula>
    </cfRule>
  </conditionalFormatting>
  <conditionalFormatting sqref="B24:E24 B23 D23 B22:E22 B21:F21 B15 B19 D13 B13">
    <cfRule type="cellIs" dxfId="347" priority="21" operator="greaterThan">
      <formula>7</formula>
    </cfRule>
  </conditionalFormatting>
  <conditionalFormatting sqref="I15 I13">
    <cfRule type="cellIs" dxfId="346" priority="20" operator="greaterThan">
      <formula>20</formula>
    </cfRule>
  </conditionalFormatting>
  <conditionalFormatting sqref="K15 K13">
    <cfRule type="cellIs" dxfId="345" priority="19" stopIfTrue="1" operator="lessThan">
      <formula>80</formula>
    </cfRule>
  </conditionalFormatting>
  <conditionalFormatting sqref="L15 L13">
    <cfRule type="cellIs" dxfId="344" priority="18" operator="greaterThan">
      <formula>0</formula>
    </cfRule>
  </conditionalFormatting>
  <conditionalFormatting sqref="F15 F19 F13">
    <cfRule type="cellIs" dxfId="343" priority="17" stopIfTrue="1" operator="greaterThan">
      <formula>10</formula>
    </cfRule>
  </conditionalFormatting>
  <conditionalFormatting sqref="K19">
    <cfRule type="cellIs" dxfId="342" priority="16" stopIfTrue="1" operator="lessThan">
      <formula>80</formula>
    </cfRule>
  </conditionalFormatting>
  <conditionalFormatting sqref="I14:J14">
    <cfRule type="cellIs" dxfId="341" priority="15" operator="greaterThan">
      <formula>20</formula>
    </cfRule>
  </conditionalFormatting>
  <conditionalFormatting sqref="J16">
    <cfRule type="cellIs" dxfId="340" priority="14" operator="greaterThan">
      <formula>20</formula>
    </cfRule>
  </conditionalFormatting>
  <conditionalFormatting sqref="I16:I17">
    <cfRule type="cellIs" dxfId="339" priority="13" operator="greaterThan">
      <formula>20</formula>
    </cfRule>
  </conditionalFormatting>
  <conditionalFormatting sqref="I19">
    <cfRule type="cellIs" dxfId="338" priority="11" operator="greaterThan">
      <formula>20</formula>
    </cfRule>
  </conditionalFormatting>
  <conditionalFormatting sqref="I20">
    <cfRule type="cellIs" dxfId="337" priority="10" operator="greaterThan">
      <formula>20</formula>
    </cfRule>
  </conditionalFormatting>
  <conditionalFormatting sqref="J20">
    <cfRule type="cellIs" dxfId="336" priority="9" operator="greaterThan">
      <formula>20</formula>
    </cfRule>
  </conditionalFormatting>
  <conditionalFormatting sqref="D15">
    <cfRule type="cellIs" dxfId="335" priority="8" operator="greaterThan">
      <formula>7</formula>
    </cfRule>
  </conditionalFormatting>
  <conditionalFormatting sqref="D17">
    <cfRule type="cellIs" dxfId="334" priority="7" operator="greaterThan">
      <formula>7</formula>
    </cfRule>
  </conditionalFormatting>
  <conditionalFormatting sqref="B17">
    <cfRule type="cellIs" dxfId="333" priority="6" operator="greaterThan">
      <formula>7</formula>
    </cfRule>
  </conditionalFormatting>
  <conditionalFormatting sqref="L19">
    <cfRule type="cellIs" dxfId="332" priority="3" operator="greaterThan">
      <formula>0</formula>
    </cfRule>
  </conditionalFormatting>
  <conditionalFormatting sqref="F17">
    <cfRule type="cellIs" dxfId="331" priority="2" stopIfTrue="1" operator="greaterThan">
      <formula>10</formula>
    </cfRule>
  </conditionalFormatting>
  <conditionalFormatting sqref="K17">
    <cfRule type="cellIs" dxfId="330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60" zoomScaleNormal="100" zoomScalePageLayoutView="80" workbookViewId="0">
      <selection activeCell="L15" sqref="L15:L16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43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394.8</v>
      </c>
      <c r="B9" s="62">
        <v>15</v>
      </c>
      <c r="C9" s="63"/>
      <c r="D9" s="29">
        <f>AVERAGE(B13:E24)</f>
        <v>4.8715384615384618</v>
      </c>
      <c r="E9" s="31"/>
      <c r="F9" s="52">
        <f>AVERAGE(I13,I15,I17,I19)</f>
        <v>4.7</v>
      </c>
      <c r="G9" s="53"/>
      <c r="H9" s="40">
        <f>AVERAGE(K13,K15,K17,K19)</f>
        <v>95.3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2.3333333333333335</v>
      </c>
      <c r="G10" s="3">
        <f>AVERAGE(J14,J16,J18,J20)</f>
        <v>2.3666666666666667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18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10.3</v>
      </c>
      <c r="C13" s="31"/>
      <c r="D13" s="29">
        <v>4.8</v>
      </c>
      <c r="E13" s="31"/>
      <c r="F13" s="46">
        <v>4.37</v>
      </c>
      <c r="G13" s="47"/>
      <c r="H13" s="48"/>
      <c r="I13" s="52">
        <v>4.8</v>
      </c>
      <c r="J13" s="53"/>
      <c r="K13" s="26">
        <v>95.2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2.5</v>
      </c>
      <c r="J14" s="19">
        <v>2.2999999999999998</v>
      </c>
      <c r="K14" s="27"/>
      <c r="L14" s="27"/>
    </row>
    <row r="15" spans="1:12" ht="24.95" customHeight="1" thickBot="1" x14ac:dyDescent="0.25">
      <c r="A15" s="44">
        <v>0.41666666666666669</v>
      </c>
      <c r="B15" s="29">
        <v>5.49</v>
      </c>
      <c r="C15" s="31"/>
      <c r="D15" s="29"/>
      <c r="E15" s="31"/>
      <c r="F15" s="46">
        <v>7.92</v>
      </c>
      <c r="G15" s="47"/>
      <c r="H15" s="48"/>
      <c r="I15" s="52">
        <v>4.5</v>
      </c>
      <c r="J15" s="53"/>
      <c r="K15" s="26">
        <v>95.5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2.1</v>
      </c>
      <c r="J16" s="19">
        <v>2.4</v>
      </c>
      <c r="K16" s="27"/>
      <c r="L16" s="27"/>
    </row>
    <row r="17" spans="1:12" ht="24.95" customHeight="1" thickBot="1" x14ac:dyDescent="0.25">
      <c r="A17" s="44">
        <v>0.5</v>
      </c>
      <c r="B17" s="29">
        <v>1.85</v>
      </c>
      <c r="C17" s="31"/>
      <c r="D17" s="29">
        <v>7.02</v>
      </c>
      <c r="E17" s="31"/>
      <c r="F17" s="46"/>
      <c r="G17" s="47"/>
      <c r="H17" s="17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11.11</v>
      </c>
      <c r="G19" s="47"/>
      <c r="H19" s="48"/>
      <c r="I19" s="52">
        <v>4.8</v>
      </c>
      <c r="J19" s="53"/>
      <c r="K19" s="26">
        <v>95.2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2.4</v>
      </c>
      <c r="J20" s="19">
        <v>2.4</v>
      </c>
      <c r="K20" s="27"/>
      <c r="L20" s="27"/>
    </row>
    <row r="21" spans="1:12" ht="50.1" customHeight="1" thickBot="1" x14ac:dyDescent="0.25">
      <c r="A21" s="1">
        <v>0.66666666666666663</v>
      </c>
      <c r="B21" s="28">
        <v>2.57</v>
      </c>
      <c r="C21" s="28"/>
      <c r="D21" s="28">
        <v>5.07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3.85</v>
      </c>
      <c r="C22" s="28"/>
      <c r="D22" s="28">
        <v>5.21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5.34</v>
      </c>
      <c r="C23" s="39"/>
      <c r="D23" s="38">
        <v>2.48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</v>
      </c>
      <c r="C24" s="28"/>
      <c r="D24" s="28">
        <v>6.35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</mergeCells>
  <conditionalFormatting sqref="D9">
    <cfRule type="cellIs" dxfId="329" priority="25" operator="greaterThan">
      <formula>7</formula>
    </cfRule>
  </conditionalFormatting>
  <conditionalFormatting sqref="F9">
    <cfRule type="cellIs" dxfId="328" priority="24" operator="greaterThan">
      <formula>20</formula>
    </cfRule>
  </conditionalFormatting>
  <conditionalFormatting sqref="H9:J10">
    <cfRule type="cellIs" dxfId="327" priority="23" operator="lessThan">
      <formula>80</formula>
    </cfRule>
  </conditionalFormatting>
  <conditionalFormatting sqref="K9:L10">
    <cfRule type="cellIs" dxfId="326" priority="22" operator="greaterThan">
      <formula>0</formula>
    </cfRule>
  </conditionalFormatting>
  <conditionalFormatting sqref="B24:E24 B23 D23 B22:E22 B21:F21 B15 B19 D13 B13">
    <cfRule type="cellIs" dxfId="325" priority="21" operator="greaterThan">
      <formula>7</formula>
    </cfRule>
  </conditionalFormatting>
  <conditionalFormatting sqref="I15 I13">
    <cfRule type="cellIs" dxfId="324" priority="20" operator="greaterThan">
      <formula>20</formula>
    </cfRule>
  </conditionalFormatting>
  <conditionalFormatting sqref="K15 K13">
    <cfRule type="cellIs" dxfId="323" priority="19" stopIfTrue="1" operator="lessThan">
      <formula>80</formula>
    </cfRule>
  </conditionalFormatting>
  <conditionalFormatting sqref="L15 L13">
    <cfRule type="cellIs" dxfId="322" priority="18" operator="greaterThan">
      <formula>0</formula>
    </cfRule>
  </conditionalFormatting>
  <conditionalFormatting sqref="F15 F19 F13">
    <cfRule type="cellIs" dxfId="321" priority="17" stopIfTrue="1" operator="greaterThan">
      <formula>10</formula>
    </cfRule>
  </conditionalFormatting>
  <conditionalFormatting sqref="K19">
    <cfRule type="cellIs" dxfId="320" priority="16" stopIfTrue="1" operator="lessThan">
      <formula>80</formula>
    </cfRule>
  </conditionalFormatting>
  <conditionalFormatting sqref="I14:J14">
    <cfRule type="cellIs" dxfId="319" priority="15" operator="greaterThan">
      <formula>20</formula>
    </cfRule>
  </conditionalFormatting>
  <conditionalFormatting sqref="J16">
    <cfRule type="cellIs" dxfId="318" priority="14" operator="greaterThan">
      <formula>20</formula>
    </cfRule>
  </conditionalFormatting>
  <conditionalFormatting sqref="I16:I17">
    <cfRule type="cellIs" dxfId="317" priority="13" operator="greaterThan">
      <formula>20</formula>
    </cfRule>
  </conditionalFormatting>
  <conditionalFormatting sqref="I19">
    <cfRule type="cellIs" dxfId="316" priority="11" operator="greaterThan">
      <formula>20</formula>
    </cfRule>
  </conditionalFormatting>
  <conditionalFormatting sqref="I20">
    <cfRule type="cellIs" dxfId="315" priority="10" operator="greaterThan">
      <formula>20</formula>
    </cfRule>
  </conditionalFormatting>
  <conditionalFormatting sqref="J20">
    <cfRule type="cellIs" dxfId="314" priority="9" operator="greaterThan">
      <formula>20</formula>
    </cfRule>
  </conditionalFormatting>
  <conditionalFormatting sqref="D15">
    <cfRule type="cellIs" dxfId="313" priority="8" operator="greaterThan">
      <formula>7</formula>
    </cfRule>
  </conditionalFormatting>
  <conditionalFormatting sqref="D17">
    <cfRule type="cellIs" dxfId="312" priority="7" operator="greaterThan">
      <formula>7</formula>
    </cfRule>
  </conditionalFormatting>
  <conditionalFormatting sqref="B17">
    <cfRule type="cellIs" dxfId="311" priority="6" operator="greaterThan">
      <formula>7</formula>
    </cfRule>
  </conditionalFormatting>
  <conditionalFormatting sqref="L19">
    <cfRule type="cellIs" dxfId="310" priority="3" operator="greaterThan">
      <formula>0</formula>
    </cfRule>
  </conditionalFormatting>
  <conditionalFormatting sqref="F17">
    <cfRule type="cellIs" dxfId="309" priority="2" stopIfTrue="1" operator="greaterThan">
      <formula>10</formula>
    </cfRule>
  </conditionalFormatting>
  <conditionalFormatting sqref="K17">
    <cfRule type="cellIs" dxfId="30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2" zoomScale="71" zoomScaleNormal="100" zoomScaleSheetLayoutView="71" zoomScalePageLayoutView="80" workbookViewId="0">
      <selection activeCell="K13" sqref="K13:K1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44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525.9</v>
      </c>
      <c r="B9" s="62">
        <v>21</v>
      </c>
      <c r="C9" s="63"/>
      <c r="D9" s="29">
        <f>AVERAGE(B13:E24)</f>
        <v>3.4533333333333331</v>
      </c>
      <c r="E9" s="31"/>
      <c r="F9" s="52">
        <f>AVERAGE(I13,I15,I17,I19)</f>
        <v>12.066666666666668</v>
      </c>
      <c r="G9" s="53"/>
      <c r="H9" s="40">
        <f>AVERAGE(K13,K15,K17,K19)</f>
        <v>87.933333333333337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7.4000000000000012</v>
      </c>
      <c r="G10" s="3">
        <f>AVERAGE(J14,J16,J18,J20)</f>
        <v>4.666666666666667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1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2.5099999999999998</v>
      </c>
      <c r="C13" s="31"/>
      <c r="D13" s="29">
        <v>2.86</v>
      </c>
      <c r="E13" s="31"/>
      <c r="F13" s="46">
        <v>10.41</v>
      </c>
      <c r="G13" s="47"/>
      <c r="H13" s="48"/>
      <c r="I13" s="52">
        <v>4.4000000000000004</v>
      </c>
      <c r="J13" s="53"/>
      <c r="K13" s="26">
        <v>95.6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2.1</v>
      </c>
      <c r="J14" s="20">
        <v>2.2999999999999998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8.7799999999999994</v>
      </c>
      <c r="G15" s="47"/>
      <c r="H15" s="48"/>
      <c r="I15" s="52">
        <v>27.1</v>
      </c>
      <c r="J15" s="53"/>
      <c r="K15" s="26">
        <v>72.900000000000006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17.8</v>
      </c>
      <c r="J16" s="20">
        <v>9.3000000000000007</v>
      </c>
      <c r="K16" s="27"/>
      <c r="L16" s="27"/>
    </row>
    <row r="17" spans="1:12" ht="24.95" customHeight="1" thickBot="1" x14ac:dyDescent="0.25">
      <c r="A17" s="44">
        <v>0.5</v>
      </c>
      <c r="B17" s="29">
        <v>3.35</v>
      </c>
      <c r="C17" s="31"/>
      <c r="D17" s="29">
        <v>6.1</v>
      </c>
      <c r="E17" s="31"/>
      <c r="F17" s="46"/>
      <c r="G17" s="47"/>
      <c r="H17" s="22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9.1999999999999993</v>
      </c>
      <c r="G19" s="47"/>
      <c r="H19" s="48"/>
      <c r="I19" s="52">
        <v>4.7</v>
      </c>
      <c r="J19" s="53"/>
      <c r="K19" s="26">
        <v>95.3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2.2999999999999998</v>
      </c>
      <c r="J20" s="20">
        <v>2.4</v>
      </c>
      <c r="K20" s="27"/>
      <c r="L20" s="27"/>
    </row>
    <row r="21" spans="1:12" ht="50.1" customHeight="1" thickBot="1" x14ac:dyDescent="0.25">
      <c r="A21" s="1">
        <v>0.66666666666666663</v>
      </c>
      <c r="B21" s="28">
        <v>3.51</v>
      </c>
      <c r="C21" s="28"/>
      <c r="D21" s="28">
        <v>6.05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4.0599999999999996</v>
      </c>
      <c r="C22" s="28"/>
      <c r="D22" s="28">
        <v>3.1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2.59</v>
      </c>
      <c r="C23" s="39"/>
      <c r="D23" s="38">
        <v>2.04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3.24</v>
      </c>
      <c r="C24" s="28"/>
      <c r="D24" s="28">
        <v>2.0299999999999998</v>
      </c>
      <c r="E24" s="28"/>
      <c r="F24" s="32"/>
      <c r="G24" s="33"/>
      <c r="H24" s="33"/>
      <c r="I24" s="33"/>
      <c r="J24" s="33"/>
      <c r="K24" s="33"/>
      <c r="L24" s="34"/>
    </row>
    <row r="25" spans="1:12" ht="50.1" customHeight="1" thickBot="1" x14ac:dyDescent="0.25">
      <c r="F25" s="35"/>
      <c r="G25" s="36"/>
      <c r="H25" s="36"/>
      <c r="I25" s="36"/>
      <c r="J25" s="36"/>
      <c r="K25" s="36"/>
      <c r="L25" s="37"/>
    </row>
  </sheetData>
  <mergeCells count="67">
    <mergeCell ref="B19:E20"/>
    <mergeCell ref="F19:H20"/>
    <mergeCell ref="I19:J19"/>
    <mergeCell ref="K19:K20"/>
    <mergeCell ref="B21:C21"/>
    <mergeCell ref="D21:E21"/>
    <mergeCell ref="F21:L25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307" priority="25" operator="greaterThan">
      <formula>7</formula>
    </cfRule>
  </conditionalFormatting>
  <conditionalFormatting sqref="F9">
    <cfRule type="cellIs" dxfId="306" priority="24" operator="greaterThan">
      <formula>20</formula>
    </cfRule>
  </conditionalFormatting>
  <conditionalFormatting sqref="H9:J10">
    <cfRule type="cellIs" dxfId="305" priority="23" operator="lessThan">
      <formula>80</formula>
    </cfRule>
  </conditionalFormatting>
  <conditionalFormatting sqref="K9:L10">
    <cfRule type="cellIs" dxfId="304" priority="22" operator="greaterThan">
      <formula>0</formula>
    </cfRule>
  </conditionalFormatting>
  <conditionalFormatting sqref="B24:E24 B23 D23 B15 B19 D13 B13 B21:F22">
    <cfRule type="cellIs" dxfId="303" priority="21" operator="greaterThan">
      <formula>7</formula>
    </cfRule>
  </conditionalFormatting>
  <conditionalFormatting sqref="I15 I13">
    <cfRule type="cellIs" dxfId="302" priority="20" operator="greaterThan">
      <formula>20</formula>
    </cfRule>
  </conditionalFormatting>
  <conditionalFormatting sqref="K15 K13">
    <cfRule type="cellIs" dxfId="301" priority="19" stopIfTrue="1" operator="lessThan">
      <formula>80</formula>
    </cfRule>
  </conditionalFormatting>
  <conditionalFormatting sqref="L15 L13">
    <cfRule type="cellIs" dxfId="300" priority="18" operator="greaterThan">
      <formula>0</formula>
    </cfRule>
  </conditionalFormatting>
  <conditionalFormatting sqref="F15 F19 F13">
    <cfRule type="cellIs" dxfId="299" priority="17" stopIfTrue="1" operator="greaterThan">
      <formula>10</formula>
    </cfRule>
  </conditionalFormatting>
  <conditionalFormatting sqref="K19">
    <cfRule type="cellIs" dxfId="298" priority="16" stopIfTrue="1" operator="lessThan">
      <formula>80</formula>
    </cfRule>
  </conditionalFormatting>
  <conditionalFormatting sqref="I14:J14">
    <cfRule type="cellIs" dxfId="297" priority="15" operator="greaterThan">
      <formula>20</formula>
    </cfRule>
  </conditionalFormatting>
  <conditionalFormatting sqref="J16">
    <cfRule type="cellIs" dxfId="296" priority="14" operator="greaterThan">
      <formula>20</formula>
    </cfRule>
  </conditionalFormatting>
  <conditionalFormatting sqref="I16:I17">
    <cfRule type="cellIs" dxfId="295" priority="13" operator="greaterThan">
      <formula>20</formula>
    </cfRule>
  </conditionalFormatting>
  <conditionalFormatting sqref="I19">
    <cfRule type="cellIs" dxfId="294" priority="11" operator="greaterThan">
      <formula>20</formula>
    </cfRule>
  </conditionalFormatting>
  <conditionalFormatting sqref="I20">
    <cfRule type="cellIs" dxfId="293" priority="10" operator="greaterThan">
      <formula>20</formula>
    </cfRule>
  </conditionalFormatting>
  <conditionalFormatting sqref="J20">
    <cfRule type="cellIs" dxfId="292" priority="9" operator="greaterThan">
      <formula>20</formula>
    </cfRule>
  </conditionalFormatting>
  <conditionalFormatting sqref="D15">
    <cfRule type="cellIs" dxfId="291" priority="8" operator="greaterThan">
      <formula>7</formula>
    </cfRule>
  </conditionalFormatting>
  <conditionalFormatting sqref="D17">
    <cfRule type="cellIs" dxfId="290" priority="7" operator="greaterThan">
      <formula>7</formula>
    </cfRule>
  </conditionalFormatting>
  <conditionalFormatting sqref="B17">
    <cfRule type="cellIs" dxfId="289" priority="6" operator="greaterThan">
      <formula>7</formula>
    </cfRule>
  </conditionalFormatting>
  <conditionalFormatting sqref="L19">
    <cfRule type="cellIs" dxfId="288" priority="3" operator="greaterThan">
      <formula>0</formula>
    </cfRule>
  </conditionalFormatting>
  <conditionalFormatting sqref="F17">
    <cfRule type="cellIs" dxfId="287" priority="2" stopIfTrue="1" operator="greaterThan">
      <formula>10</formula>
    </cfRule>
  </conditionalFormatting>
  <conditionalFormatting sqref="K17">
    <cfRule type="cellIs" dxfId="286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2" zoomScale="73" zoomScaleNormal="100" zoomScaleSheetLayoutView="73" zoomScalePageLayoutView="80" workbookViewId="0">
      <selection activeCell="K9" sqref="K9:L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45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630.5</v>
      </c>
      <c r="B9" s="62">
        <v>24</v>
      </c>
      <c r="C9" s="63"/>
      <c r="D9" s="29">
        <f>AVERAGE(B13:E25)</f>
        <v>4.1692307692307686</v>
      </c>
      <c r="E9" s="31"/>
      <c r="F9" s="52">
        <f>AVERAGE(I13,I15,I17,I19)</f>
        <v>4.55</v>
      </c>
      <c r="G9" s="53"/>
      <c r="H9" s="40">
        <v>95.4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2.25</v>
      </c>
      <c r="G10" s="3">
        <f>AVERAGE(J14,J16,J18,J20)</f>
        <v>2.2999999999999998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1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3.56</v>
      </c>
      <c r="C13" s="31"/>
      <c r="D13" s="29">
        <v>2.67</v>
      </c>
      <c r="E13" s="31"/>
      <c r="F13" s="46">
        <v>4.78</v>
      </c>
      <c r="G13" s="47"/>
      <c r="H13" s="48"/>
      <c r="I13" s="52">
        <v>5</v>
      </c>
      <c r="J13" s="53"/>
      <c r="K13" s="26">
        <v>95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2.2000000000000002</v>
      </c>
      <c r="J14" s="20">
        <v>2.8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0"/>
      <c r="K16" s="27"/>
      <c r="L16" s="27"/>
    </row>
    <row r="17" spans="1:12" ht="24.95" customHeight="1" thickBot="1" x14ac:dyDescent="0.25">
      <c r="A17" s="44">
        <v>0.5</v>
      </c>
      <c r="B17" s="29">
        <v>2.75</v>
      </c>
      <c r="C17" s="31"/>
      <c r="D17" s="29">
        <v>4.88</v>
      </c>
      <c r="E17" s="31"/>
      <c r="F17" s="46"/>
      <c r="G17" s="47"/>
      <c r="H17" s="22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3.75</v>
      </c>
      <c r="G19" s="47"/>
      <c r="H19" s="48"/>
      <c r="I19" s="52">
        <v>4.0999999999999996</v>
      </c>
      <c r="J19" s="53"/>
      <c r="K19" s="26">
        <v>95.9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2.2999999999999998</v>
      </c>
      <c r="J20" s="20">
        <v>1.8</v>
      </c>
      <c r="K20" s="27"/>
      <c r="L20" s="27"/>
    </row>
    <row r="21" spans="1:12" ht="50.1" customHeight="1" thickBot="1" x14ac:dyDescent="0.25">
      <c r="A21" s="1">
        <v>0.66666666666666663</v>
      </c>
      <c r="B21" s="28">
        <v>4.6399999999999997</v>
      </c>
      <c r="C21" s="28"/>
      <c r="D21" s="28">
        <v>4.28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2.85</v>
      </c>
      <c r="C22" s="28"/>
      <c r="D22" s="28">
        <v>5.01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7.9</v>
      </c>
      <c r="C23" s="39"/>
      <c r="D23" s="38">
        <v>4.04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4.1666666666666664E-2</v>
      </c>
      <c r="B24" s="38">
        <v>3.4</v>
      </c>
      <c r="C24" s="39"/>
      <c r="D24" s="38"/>
      <c r="E24" s="39"/>
      <c r="F24" s="32"/>
      <c r="G24" s="33"/>
      <c r="H24" s="33"/>
      <c r="I24" s="33"/>
      <c r="J24" s="33"/>
      <c r="K24" s="33"/>
      <c r="L24" s="34"/>
    </row>
    <row r="25" spans="1:12" ht="50.1" customHeight="1" thickBot="1" x14ac:dyDescent="0.25">
      <c r="A25" s="1">
        <v>0.16666666666666666</v>
      </c>
      <c r="B25" s="28">
        <v>5.0999999999999996</v>
      </c>
      <c r="C25" s="28"/>
      <c r="D25" s="28">
        <v>3.12</v>
      </c>
      <c r="E25" s="28"/>
      <c r="F25" s="35"/>
      <c r="G25" s="36"/>
      <c r="H25" s="36"/>
      <c r="I25" s="36"/>
      <c r="J25" s="36"/>
      <c r="K25" s="36"/>
      <c r="L25" s="37"/>
    </row>
  </sheetData>
  <mergeCells count="69">
    <mergeCell ref="B19:E20"/>
    <mergeCell ref="F19:H20"/>
    <mergeCell ref="I19:J19"/>
    <mergeCell ref="K19:K20"/>
    <mergeCell ref="B21:C21"/>
    <mergeCell ref="D21:E21"/>
    <mergeCell ref="F21:L25"/>
    <mergeCell ref="B22:C22"/>
    <mergeCell ref="D22:E22"/>
    <mergeCell ref="B23:C23"/>
    <mergeCell ref="D23:E23"/>
    <mergeCell ref="B25:C25"/>
    <mergeCell ref="D25:E25"/>
    <mergeCell ref="L19:L20"/>
    <mergeCell ref="B24:C24"/>
    <mergeCell ref="D24:E24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85" priority="25" operator="greaterThan">
      <formula>7</formula>
    </cfRule>
  </conditionalFormatting>
  <conditionalFormatting sqref="F9">
    <cfRule type="cellIs" dxfId="284" priority="24" operator="greaterThan">
      <formula>20</formula>
    </cfRule>
  </conditionalFormatting>
  <conditionalFormatting sqref="H9:J10">
    <cfRule type="cellIs" dxfId="283" priority="23" operator="lessThan">
      <formula>80</formula>
    </cfRule>
  </conditionalFormatting>
  <conditionalFormatting sqref="K9:L10">
    <cfRule type="cellIs" dxfId="282" priority="22" operator="greaterThan">
      <formula>0</formula>
    </cfRule>
  </conditionalFormatting>
  <conditionalFormatting sqref="B25:E25 B23:B24 D23:D24 B22:E22 B21:F21 B15 B19 D13 B13">
    <cfRule type="cellIs" dxfId="281" priority="21" operator="greaterThan">
      <formula>7</formula>
    </cfRule>
  </conditionalFormatting>
  <conditionalFormatting sqref="I15 I13">
    <cfRule type="cellIs" dxfId="280" priority="20" operator="greaterThan">
      <formula>20</formula>
    </cfRule>
  </conditionalFormatting>
  <conditionalFormatting sqref="K15 K13">
    <cfRule type="cellIs" dxfId="279" priority="19" stopIfTrue="1" operator="lessThan">
      <formula>80</formula>
    </cfRule>
  </conditionalFormatting>
  <conditionalFormatting sqref="L15 L13">
    <cfRule type="cellIs" dxfId="278" priority="18" operator="greaterThan">
      <formula>0</formula>
    </cfRule>
  </conditionalFormatting>
  <conditionalFormatting sqref="F15 F19 F13">
    <cfRule type="cellIs" dxfId="277" priority="17" stopIfTrue="1" operator="greaterThan">
      <formula>10</formula>
    </cfRule>
  </conditionalFormatting>
  <conditionalFormatting sqref="K19">
    <cfRule type="cellIs" dxfId="276" priority="16" stopIfTrue="1" operator="lessThan">
      <formula>80</formula>
    </cfRule>
  </conditionalFormatting>
  <conditionalFormatting sqref="I14:J14">
    <cfRule type="cellIs" dxfId="275" priority="15" operator="greaterThan">
      <formula>20</formula>
    </cfRule>
  </conditionalFormatting>
  <conditionalFormatting sqref="J16">
    <cfRule type="cellIs" dxfId="274" priority="14" operator="greaterThan">
      <formula>20</formula>
    </cfRule>
  </conditionalFormatting>
  <conditionalFormatting sqref="I16:I17">
    <cfRule type="cellIs" dxfId="273" priority="13" operator="greaterThan">
      <formula>20</formula>
    </cfRule>
  </conditionalFormatting>
  <conditionalFormatting sqref="I19">
    <cfRule type="cellIs" dxfId="272" priority="11" operator="greaterThan">
      <formula>20</formula>
    </cfRule>
  </conditionalFormatting>
  <conditionalFormatting sqref="I20">
    <cfRule type="cellIs" dxfId="271" priority="10" operator="greaterThan">
      <formula>20</formula>
    </cfRule>
  </conditionalFormatting>
  <conditionalFormatting sqref="J20">
    <cfRule type="cellIs" dxfId="270" priority="9" operator="greaterThan">
      <formula>20</formula>
    </cfRule>
  </conditionalFormatting>
  <conditionalFormatting sqref="D15">
    <cfRule type="cellIs" dxfId="269" priority="8" operator="greaterThan">
      <formula>7</formula>
    </cfRule>
  </conditionalFormatting>
  <conditionalFormatting sqref="D17">
    <cfRule type="cellIs" dxfId="268" priority="7" operator="greaterThan">
      <formula>7</formula>
    </cfRule>
  </conditionalFormatting>
  <conditionalFormatting sqref="B17">
    <cfRule type="cellIs" dxfId="267" priority="6" operator="greaterThan">
      <formula>7</formula>
    </cfRule>
  </conditionalFormatting>
  <conditionalFormatting sqref="L19">
    <cfRule type="cellIs" dxfId="266" priority="3" operator="greaterThan">
      <formula>0</formula>
    </cfRule>
  </conditionalFormatting>
  <conditionalFormatting sqref="F17">
    <cfRule type="cellIs" dxfId="265" priority="2" stopIfTrue="1" operator="greaterThan">
      <formula>10</formula>
    </cfRule>
  </conditionalFormatting>
  <conditionalFormatting sqref="K17">
    <cfRule type="cellIs" dxfId="264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4" zoomScale="71" zoomScaleNormal="100" zoomScaleSheetLayoutView="71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46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526.79999999999995</v>
      </c>
      <c r="B9" s="62">
        <v>21</v>
      </c>
      <c r="C9" s="63"/>
      <c r="D9" s="29">
        <f>AVERAGE(B13:E24)</f>
        <v>3.5566666666666662</v>
      </c>
      <c r="E9" s="31"/>
      <c r="F9" s="52">
        <v>7.8</v>
      </c>
      <c r="G9" s="53"/>
      <c r="H9" s="40">
        <v>92.2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4.0666666666666664</v>
      </c>
      <c r="G10" s="3">
        <f>AVERAGE(J14,J16,J18,J20)</f>
        <v>3.6666666666666665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1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3.66</v>
      </c>
      <c r="C13" s="31"/>
      <c r="D13" s="29">
        <v>4.4400000000000004</v>
      </c>
      <c r="E13" s="31"/>
      <c r="F13" s="46">
        <v>3.11</v>
      </c>
      <c r="G13" s="47"/>
      <c r="H13" s="48"/>
      <c r="I13" s="52">
        <v>12.4</v>
      </c>
      <c r="J13" s="53"/>
      <c r="K13" s="26">
        <v>87.6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6.2</v>
      </c>
      <c r="J14" s="20">
        <v>6.2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6.47</v>
      </c>
      <c r="G15" s="47"/>
      <c r="H15" s="48"/>
      <c r="I15" s="52">
        <v>6.1</v>
      </c>
      <c r="J15" s="53"/>
      <c r="K15" s="26">
        <v>93.9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3.3</v>
      </c>
      <c r="J16" s="20">
        <v>2.8</v>
      </c>
      <c r="K16" s="27"/>
      <c r="L16" s="27"/>
    </row>
    <row r="17" spans="1:12" ht="24.95" customHeight="1" thickBot="1" x14ac:dyDescent="0.25">
      <c r="A17" s="44">
        <v>0.5</v>
      </c>
      <c r="B17" s="29">
        <v>4.45</v>
      </c>
      <c r="C17" s="31"/>
      <c r="D17" s="29">
        <v>2.04</v>
      </c>
      <c r="E17" s="31"/>
      <c r="F17" s="46"/>
      <c r="G17" s="47"/>
      <c r="H17" s="22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5.15</v>
      </c>
      <c r="G19" s="47"/>
      <c r="H19" s="48"/>
      <c r="I19" s="52">
        <v>4.7</v>
      </c>
      <c r="J19" s="53"/>
      <c r="K19" s="26">
        <v>95.3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2.7</v>
      </c>
      <c r="J20" s="20">
        <v>2</v>
      </c>
      <c r="K20" s="27"/>
      <c r="L20" s="27"/>
    </row>
    <row r="21" spans="1:12" ht="50.1" customHeight="1" thickBot="1" x14ac:dyDescent="0.25">
      <c r="A21" s="1">
        <v>0.66666666666666663</v>
      </c>
      <c r="B21" s="28">
        <v>1.23</v>
      </c>
      <c r="C21" s="28"/>
      <c r="D21" s="28">
        <v>1.99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2.77</v>
      </c>
      <c r="C22" s="28"/>
      <c r="D22" s="28">
        <v>3.11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4.16</v>
      </c>
      <c r="C23" s="39"/>
      <c r="D23" s="38">
        <v>6.09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7.08</v>
      </c>
      <c r="C24" s="28"/>
      <c r="D24" s="28">
        <v>1.66</v>
      </c>
      <c r="E24" s="28"/>
      <c r="F24" s="32"/>
      <c r="G24" s="33"/>
      <c r="H24" s="33"/>
      <c r="I24" s="33"/>
      <c r="J24" s="33"/>
      <c r="K24" s="33"/>
      <c r="L24" s="34"/>
    </row>
    <row r="25" spans="1:12" ht="50.1" customHeight="1" thickBot="1" x14ac:dyDescent="0.25">
      <c r="F25" s="35"/>
      <c r="G25" s="36"/>
      <c r="H25" s="36"/>
      <c r="I25" s="36"/>
      <c r="J25" s="36"/>
      <c r="K25" s="36"/>
      <c r="L25" s="37"/>
    </row>
  </sheetData>
  <mergeCells count="67">
    <mergeCell ref="B19:E20"/>
    <mergeCell ref="F19:H20"/>
    <mergeCell ref="I19:J19"/>
    <mergeCell ref="K19:K20"/>
    <mergeCell ref="B21:C21"/>
    <mergeCell ref="D21:E21"/>
    <mergeCell ref="F21:L25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63" priority="25" operator="greaterThan">
      <formula>7</formula>
    </cfRule>
  </conditionalFormatting>
  <conditionalFormatting sqref="F9">
    <cfRule type="cellIs" dxfId="262" priority="24" operator="greaterThan">
      <formula>20</formula>
    </cfRule>
  </conditionalFormatting>
  <conditionalFormatting sqref="H9:J10">
    <cfRule type="cellIs" dxfId="261" priority="23" operator="lessThan">
      <formula>80</formula>
    </cfRule>
  </conditionalFormatting>
  <conditionalFormatting sqref="K9:L10">
    <cfRule type="cellIs" dxfId="260" priority="22" operator="greaterThan">
      <formula>0</formula>
    </cfRule>
  </conditionalFormatting>
  <conditionalFormatting sqref="B24:E24 B23 D23 B22:E22 B21:F21 B15 B19 D13 B13">
    <cfRule type="cellIs" dxfId="259" priority="21" operator="greaterThan">
      <formula>7</formula>
    </cfRule>
  </conditionalFormatting>
  <conditionalFormatting sqref="I15 I13">
    <cfRule type="cellIs" dxfId="258" priority="20" operator="greaterThan">
      <formula>20</formula>
    </cfRule>
  </conditionalFormatting>
  <conditionalFormatting sqref="K15 K13">
    <cfRule type="cellIs" dxfId="257" priority="19" stopIfTrue="1" operator="lessThan">
      <formula>80</formula>
    </cfRule>
  </conditionalFormatting>
  <conditionalFormatting sqref="L15 L13">
    <cfRule type="cellIs" dxfId="256" priority="18" operator="greaterThan">
      <formula>0</formula>
    </cfRule>
  </conditionalFormatting>
  <conditionalFormatting sqref="F15 F19 F13">
    <cfRule type="cellIs" dxfId="255" priority="17" stopIfTrue="1" operator="greaterThan">
      <formula>10</formula>
    </cfRule>
  </conditionalFormatting>
  <conditionalFormatting sqref="K19">
    <cfRule type="cellIs" dxfId="254" priority="16" stopIfTrue="1" operator="lessThan">
      <formula>80</formula>
    </cfRule>
  </conditionalFormatting>
  <conditionalFormatting sqref="I14:J14">
    <cfRule type="cellIs" dxfId="253" priority="15" operator="greaterThan">
      <formula>20</formula>
    </cfRule>
  </conditionalFormatting>
  <conditionalFormatting sqref="J16">
    <cfRule type="cellIs" dxfId="252" priority="14" operator="greaterThan">
      <formula>20</formula>
    </cfRule>
  </conditionalFormatting>
  <conditionalFormatting sqref="I16:I17">
    <cfRule type="cellIs" dxfId="251" priority="13" operator="greaterThan">
      <formula>20</formula>
    </cfRule>
  </conditionalFormatting>
  <conditionalFormatting sqref="I19">
    <cfRule type="cellIs" dxfId="250" priority="11" operator="greaterThan">
      <formula>20</formula>
    </cfRule>
  </conditionalFormatting>
  <conditionalFormatting sqref="I20">
    <cfRule type="cellIs" dxfId="249" priority="10" operator="greaterThan">
      <formula>20</formula>
    </cfRule>
  </conditionalFormatting>
  <conditionalFormatting sqref="J20">
    <cfRule type="cellIs" dxfId="248" priority="9" operator="greaterThan">
      <formula>20</formula>
    </cfRule>
  </conditionalFormatting>
  <conditionalFormatting sqref="D15">
    <cfRule type="cellIs" dxfId="247" priority="8" operator="greaterThan">
      <formula>7</formula>
    </cfRule>
  </conditionalFormatting>
  <conditionalFormatting sqref="D17">
    <cfRule type="cellIs" dxfId="246" priority="7" operator="greaterThan">
      <formula>7</formula>
    </cfRule>
  </conditionalFormatting>
  <conditionalFormatting sqref="B17">
    <cfRule type="cellIs" dxfId="245" priority="6" operator="greaterThan">
      <formula>7</formula>
    </cfRule>
  </conditionalFormatting>
  <conditionalFormatting sqref="L19">
    <cfRule type="cellIs" dxfId="244" priority="3" operator="greaterThan">
      <formula>0</formula>
    </cfRule>
  </conditionalFormatting>
  <conditionalFormatting sqref="F17">
    <cfRule type="cellIs" dxfId="243" priority="2" stopIfTrue="1" operator="greaterThan">
      <formula>10</formula>
    </cfRule>
  </conditionalFormatting>
  <conditionalFormatting sqref="K17">
    <cfRule type="cellIs" dxfId="242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73" zoomScaleNormal="100" zoomScaleSheetLayoutView="73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47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499</v>
      </c>
      <c r="B9" s="62">
        <v>20</v>
      </c>
      <c r="C9" s="63"/>
      <c r="D9" s="29">
        <f>AVERAGE(B13:E24)</f>
        <v>3.84</v>
      </c>
      <c r="E9" s="31"/>
      <c r="F9" s="52">
        <f>AVERAGE(I13,I15,I17,I19)</f>
        <v>5.166666666666667</v>
      </c>
      <c r="G9" s="53"/>
      <c r="H9" s="40">
        <f>AVERAGE(K13,K15,K17,K19)</f>
        <v>94.833333333333329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2.4</v>
      </c>
      <c r="G10" s="3">
        <f>AVERAGE(J14,J16,J18,J20)</f>
        <v>2.7666666666666671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1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1.17</v>
      </c>
      <c r="C13" s="31"/>
      <c r="D13" s="29">
        <v>3.74</v>
      </c>
      <c r="E13" s="31"/>
      <c r="F13" s="46">
        <v>8.57</v>
      </c>
      <c r="G13" s="47"/>
      <c r="H13" s="48"/>
      <c r="I13" s="52">
        <v>5.6</v>
      </c>
      <c r="J13" s="53"/>
      <c r="K13" s="26">
        <v>94.4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2.8</v>
      </c>
      <c r="J14" s="20">
        <v>2.8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>
        <v>7.89</v>
      </c>
      <c r="G15" s="47"/>
      <c r="H15" s="48"/>
      <c r="I15" s="52">
        <v>6.4</v>
      </c>
      <c r="J15" s="53"/>
      <c r="K15" s="26">
        <v>93.6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2.4</v>
      </c>
      <c r="J16" s="20">
        <v>4</v>
      </c>
      <c r="K16" s="27"/>
      <c r="L16" s="27"/>
    </row>
    <row r="17" spans="1:12" ht="24.95" customHeight="1" thickBot="1" x14ac:dyDescent="0.25">
      <c r="A17" s="44">
        <v>0.5</v>
      </c>
      <c r="B17" s="29">
        <v>3.49</v>
      </c>
      <c r="C17" s="31"/>
      <c r="D17" s="29">
        <v>2.95</v>
      </c>
      <c r="E17" s="31"/>
      <c r="F17" s="46"/>
      <c r="G17" s="47"/>
      <c r="H17" s="22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9.2200000000000006</v>
      </c>
      <c r="G19" s="47"/>
      <c r="H19" s="48"/>
      <c r="I19" s="52">
        <v>3.5</v>
      </c>
      <c r="J19" s="53"/>
      <c r="K19" s="26">
        <v>96.5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2</v>
      </c>
      <c r="J20" s="20">
        <v>1.5</v>
      </c>
      <c r="K20" s="27"/>
      <c r="L20" s="27"/>
    </row>
    <row r="21" spans="1:12" ht="50.1" customHeight="1" thickBot="1" x14ac:dyDescent="0.25">
      <c r="A21" s="1">
        <v>0.66666666666666663</v>
      </c>
      <c r="B21" s="28">
        <v>3.33</v>
      </c>
      <c r="C21" s="28"/>
      <c r="D21" s="28">
        <v>4.3099999999999996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6.68</v>
      </c>
      <c r="C22" s="28"/>
      <c r="D22" s="28">
        <v>5.33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3.38</v>
      </c>
      <c r="C23" s="39"/>
      <c r="D23" s="38">
        <v>4.0599999999999996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3.48</v>
      </c>
      <c r="C24" s="28"/>
      <c r="D24" s="28">
        <v>4.16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41" priority="25" operator="greaterThan">
      <formula>7</formula>
    </cfRule>
  </conditionalFormatting>
  <conditionalFormatting sqref="F9">
    <cfRule type="cellIs" dxfId="240" priority="24" operator="greaterThan">
      <formula>20</formula>
    </cfRule>
  </conditionalFormatting>
  <conditionalFormatting sqref="H9:J10">
    <cfRule type="cellIs" dxfId="239" priority="23" operator="lessThan">
      <formula>80</formula>
    </cfRule>
  </conditionalFormatting>
  <conditionalFormatting sqref="K9:L10">
    <cfRule type="cellIs" dxfId="238" priority="22" operator="greaterThan">
      <formula>0</formula>
    </cfRule>
  </conditionalFormatting>
  <conditionalFormatting sqref="B24:E24 B23 D23 B22:E22 B21:F21 B15 B19 D13 B13">
    <cfRule type="cellIs" dxfId="237" priority="21" operator="greaterThan">
      <formula>7</formula>
    </cfRule>
  </conditionalFormatting>
  <conditionalFormatting sqref="I15 I13">
    <cfRule type="cellIs" dxfId="236" priority="20" operator="greaterThan">
      <formula>20</formula>
    </cfRule>
  </conditionalFormatting>
  <conditionalFormatting sqref="K15 K13">
    <cfRule type="cellIs" dxfId="235" priority="19" stopIfTrue="1" operator="lessThan">
      <formula>80</formula>
    </cfRule>
  </conditionalFormatting>
  <conditionalFormatting sqref="L15 L13">
    <cfRule type="cellIs" dxfId="234" priority="18" operator="greaterThan">
      <formula>0</formula>
    </cfRule>
  </conditionalFormatting>
  <conditionalFormatting sqref="F15 F19 F13">
    <cfRule type="cellIs" dxfId="233" priority="17" stopIfTrue="1" operator="greaterThan">
      <formula>10</formula>
    </cfRule>
  </conditionalFormatting>
  <conditionalFormatting sqref="K19">
    <cfRule type="cellIs" dxfId="232" priority="16" stopIfTrue="1" operator="lessThan">
      <formula>80</formula>
    </cfRule>
  </conditionalFormatting>
  <conditionalFormatting sqref="I14:J14">
    <cfRule type="cellIs" dxfId="231" priority="15" operator="greaterThan">
      <formula>20</formula>
    </cfRule>
  </conditionalFormatting>
  <conditionalFormatting sqref="J16">
    <cfRule type="cellIs" dxfId="230" priority="14" operator="greaterThan">
      <formula>20</formula>
    </cfRule>
  </conditionalFormatting>
  <conditionalFormatting sqref="I16:I17">
    <cfRule type="cellIs" dxfId="229" priority="13" operator="greaterThan">
      <formula>20</formula>
    </cfRule>
  </conditionalFormatting>
  <conditionalFormatting sqref="I19">
    <cfRule type="cellIs" dxfId="228" priority="11" operator="greaterThan">
      <formula>20</formula>
    </cfRule>
  </conditionalFormatting>
  <conditionalFormatting sqref="I20">
    <cfRule type="cellIs" dxfId="227" priority="10" operator="greaterThan">
      <formula>20</formula>
    </cfRule>
  </conditionalFormatting>
  <conditionalFormatting sqref="J20">
    <cfRule type="cellIs" dxfId="226" priority="9" operator="greaterThan">
      <formula>20</formula>
    </cfRule>
  </conditionalFormatting>
  <conditionalFormatting sqref="D15">
    <cfRule type="cellIs" dxfId="225" priority="8" operator="greaterThan">
      <formula>7</formula>
    </cfRule>
  </conditionalFormatting>
  <conditionalFormatting sqref="D17">
    <cfRule type="cellIs" dxfId="224" priority="7" operator="greaterThan">
      <formula>7</formula>
    </cfRule>
  </conditionalFormatting>
  <conditionalFormatting sqref="B17">
    <cfRule type="cellIs" dxfId="223" priority="6" operator="greaterThan">
      <formula>7</formula>
    </cfRule>
  </conditionalFormatting>
  <conditionalFormatting sqref="L19">
    <cfRule type="cellIs" dxfId="222" priority="3" operator="greaterThan">
      <formula>0</formula>
    </cfRule>
  </conditionalFormatting>
  <conditionalFormatting sqref="F17">
    <cfRule type="cellIs" dxfId="221" priority="2" stopIfTrue="1" operator="greaterThan">
      <formula>10</formula>
    </cfRule>
  </conditionalFormatting>
  <conditionalFormatting sqref="K17">
    <cfRule type="cellIs" dxfId="220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62" zoomScaleNormal="100" zoomScaleSheetLayoutView="62" zoomScalePageLayoutView="80" workbookViewId="0">
      <selection activeCell="F21" sqref="F21:L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48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578.6</v>
      </c>
      <c r="B9" s="62">
        <v>23</v>
      </c>
      <c r="C9" s="63"/>
      <c r="D9" s="29">
        <f>AVERAGE(B13:E24)</f>
        <v>4.2616666666666667</v>
      </c>
      <c r="E9" s="31"/>
      <c r="F9" s="52">
        <f>AVERAGE(I13,I15,I17,I19)</f>
        <v>4.8</v>
      </c>
      <c r="G9" s="53"/>
      <c r="H9" s="40">
        <f>AVERAGE(K13,K15,K17,K19)</f>
        <v>95.2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2.5</v>
      </c>
      <c r="G10" s="3">
        <f>AVERAGE(J14,J16,J18,J20)</f>
        <v>2.2999999999999998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2.2599999999999998</v>
      </c>
      <c r="C13" s="31"/>
      <c r="D13" s="29">
        <v>3.76</v>
      </c>
      <c r="E13" s="31"/>
      <c r="F13" s="46">
        <v>10.48</v>
      </c>
      <c r="G13" s="47"/>
      <c r="H13" s="48"/>
      <c r="I13" s="52">
        <v>4.8</v>
      </c>
      <c r="J13" s="53"/>
      <c r="K13" s="26">
        <v>95.2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2.5</v>
      </c>
      <c r="J14" s="23">
        <v>2.2999999999999998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>
        <v>5.19</v>
      </c>
      <c r="C17" s="31"/>
      <c r="D17" s="29">
        <v>3.55</v>
      </c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>
        <v>3.13</v>
      </c>
      <c r="C21" s="28"/>
      <c r="D21" s="28">
        <v>2.73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5.35</v>
      </c>
      <c r="C22" s="28"/>
      <c r="D22" s="28">
        <v>5.55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6.17</v>
      </c>
      <c r="C23" s="39"/>
      <c r="D23" s="38">
        <v>5.13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6</v>
      </c>
      <c r="C24" s="28"/>
      <c r="D24" s="28">
        <v>2.3199999999999998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19" priority="25" operator="greaterThan">
      <formula>7</formula>
    </cfRule>
  </conditionalFormatting>
  <conditionalFormatting sqref="F9">
    <cfRule type="cellIs" dxfId="218" priority="24" operator="greaterThan">
      <formula>20</formula>
    </cfRule>
  </conditionalFormatting>
  <conditionalFormatting sqref="H9:J10">
    <cfRule type="cellIs" dxfId="217" priority="23" operator="lessThan">
      <formula>80</formula>
    </cfRule>
  </conditionalFormatting>
  <conditionalFormatting sqref="K9:L10">
    <cfRule type="cellIs" dxfId="216" priority="22" operator="greaterThan">
      <formula>0</formula>
    </cfRule>
  </conditionalFormatting>
  <conditionalFormatting sqref="B24:E24 B23 D23 B22:E22 B21:F21 B15 B19 D13 B13">
    <cfRule type="cellIs" dxfId="215" priority="21" operator="greaterThan">
      <formula>7</formula>
    </cfRule>
  </conditionalFormatting>
  <conditionalFormatting sqref="I15 I13">
    <cfRule type="cellIs" dxfId="214" priority="20" operator="greaterThan">
      <formula>20</formula>
    </cfRule>
  </conditionalFormatting>
  <conditionalFormatting sqref="K15 K13">
    <cfRule type="cellIs" dxfId="213" priority="19" stopIfTrue="1" operator="lessThan">
      <formula>80</formula>
    </cfRule>
  </conditionalFormatting>
  <conditionalFormatting sqref="L15 L13">
    <cfRule type="cellIs" dxfId="212" priority="18" operator="greaterThan">
      <formula>0</formula>
    </cfRule>
  </conditionalFormatting>
  <conditionalFormatting sqref="F15 F19 F13">
    <cfRule type="cellIs" dxfId="211" priority="17" stopIfTrue="1" operator="greaterThan">
      <formula>10</formula>
    </cfRule>
  </conditionalFormatting>
  <conditionalFormatting sqref="K19">
    <cfRule type="cellIs" dxfId="210" priority="16" stopIfTrue="1" operator="lessThan">
      <formula>80</formula>
    </cfRule>
  </conditionalFormatting>
  <conditionalFormatting sqref="I14:J14">
    <cfRule type="cellIs" dxfId="209" priority="15" operator="greaterThan">
      <formula>20</formula>
    </cfRule>
  </conditionalFormatting>
  <conditionalFormatting sqref="J16">
    <cfRule type="cellIs" dxfId="208" priority="14" operator="greaterThan">
      <formula>20</formula>
    </cfRule>
  </conditionalFormatting>
  <conditionalFormatting sqref="I16:I17">
    <cfRule type="cellIs" dxfId="207" priority="13" operator="greaterThan">
      <formula>20</formula>
    </cfRule>
  </conditionalFormatting>
  <conditionalFormatting sqref="I19">
    <cfRule type="cellIs" dxfId="206" priority="11" operator="greaterThan">
      <formula>20</formula>
    </cfRule>
  </conditionalFormatting>
  <conditionalFormatting sqref="I20">
    <cfRule type="cellIs" dxfId="205" priority="10" operator="greaterThan">
      <formula>20</formula>
    </cfRule>
  </conditionalFormatting>
  <conditionalFormatting sqref="J20">
    <cfRule type="cellIs" dxfId="204" priority="9" operator="greaterThan">
      <formula>20</formula>
    </cfRule>
  </conditionalFormatting>
  <conditionalFormatting sqref="D15">
    <cfRule type="cellIs" dxfId="203" priority="8" operator="greaterThan">
      <formula>7</formula>
    </cfRule>
  </conditionalFormatting>
  <conditionalFormatting sqref="D17">
    <cfRule type="cellIs" dxfId="202" priority="7" operator="greaterThan">
      <formula>7</formula>
    </cfRule>
  </conditionalFormatting>
  <conditionalFormatting sqref="B17">
    <cfRule type="cellIs" dxfId="201" priority="6" operator="greaterThan">
      <formula>7</formula>
    </cfRule>
  </conditionalFormatting>
  <conditionalFormatting sqref="L19">
    <cfRule type="cellIs" dxfId="200" priority="3" operator="greaterThan">
      <formula>0</formula>
    </cfRule>
  </conditionalFormatting>
  <conditionalFormatting sqref="F17">
    <cfRule type="cellIs" dxfId="199" priority="2" stopIfTrue="1" operator="greaterThan">
      <formula>10</formula>
    </cfRule>
  </conditionalFormatting>
  <conditionalFormatting sqref="K17">
    <cfRule type="cellIs" dxfId="19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77" zoomScaleNormal="100" zoomScaleSheetLayoutView="77" zoomScalePageLayoutView="80" workbookViewId="0">
      <selection activeCell="D25" sqref="D25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49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0</v>
      </c>
      <c r="B9" s="62">
        <v>0</v>
      </c>
      <c r="C9" s="63"/>
      <c r="D9" s="29">
        <f>AVERAGE(B13:E24)</f>
        <v>5.0853846153846156</v>
      </c>
      <c r="E9" s="31"/>
      <c r="F9" s="52">
        <f>AVERAGE(I13,I15,I17,I19)</f>
        <v>3.5</v>
      </c>
      <c r="G9" s="53"/>
      <c r="H9" s="40">
        <f>AVERAGE(K13,K15,K17,K19)</f>
        <v>96.5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1.3</v>
      </c>
      <c r="G10" s="3">
        <f>AVERAGE(J14,J16,J18,J20)</f>
        <v>2.2000000000000002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3.89</v>
      </c>
      <c r="C13" s="31"/>
      <c r="D13" s="29">
        <v>10.35</v>
      </c>
      <c r="E13" s="31"/>
      <c r="F13" s="46">
        <v>10.73</v>
      </c>
      <c r="G13" s="47"/>
      <c r="H13" s="48"/>
      <c r="I13" s="52">
        <v>3.5</v>
      </c>
      <c r="J13" s="53"/>
      <c r="K13" s="26">
        <v>96.5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1.3</v>
      </c>
      <c r="J14" s="23">
        <v>2.2000000000000002</v>
      </c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>
        <v>1.3</v>
      </c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>
        <v>7.36</v>
      </c>
      <c r="C17" s="31"/>
      <c r="D17" s="29">
        <v>5.4</v>
      </c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>
        <v>6.46</v>
      </c>
      <c r="C21" s="28"/>
      <c r="D21" s="28">
        <v>4.91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4.5</v>
      </c>
      <c r="C22" s="28"/>
      <c r="D22" s="28">
        <v>3.19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4.37</v>
      </c>
      <c r="C23" s="39"/>
      <c r="D23" s="38">
        <v>6.18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5.45</v>
      </c>
      <c r="C24" s="28"/>
      <c r="D24" s="28">
        <v>2.75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97" priority="25" operator="greaterThan">
      <formula>7</formula>
    </cfRule>
  </conditionalFormatting>
  <conditionalFormatting sqref="F9">
    <cfRule type="cellIs" dxfId="196" priority="24" operator="greaterThan">
      <formula>20</formula>
    </cfRule>
  </conditionalFormatting>
  <conditionalFormatting sqref="H9:J10">
    <cfRule type="cellIs" dxfId="195" priority="23" operator="lessThan">
      <formula>80</formula>
    </cfRule>
  </conditionalFormatting>
  <conditionalFormatting sqref="K9:L10">
    <cfRule type="cellIs" dxfId="194" priority="22" operator="greaterThan">
      <formula>0</formula>
    </cfRule>
  </conditionalFormatting>
  <conditionalFormatting sqref="B24:E24 B23 D23 B22:E22 B21:F21 B15 B19 D13 B13">
    <cfRule type="cellIs" dxfId="193" priority="21" operator="greaterThan">
      <formula>7</formula>
    </cfRule>
  </conditionalFormatting>
  <conditionalFormatting sqref="I15 I13">
    <cfRule type="cellIs" dxfId="192" priority="20" operator="greaterThan">
      <formula>20</formula>
    </cfRule>
  </conditionalFormatting>
  <conditionalFormatting sqref="K15 K13">
    <cfRule type="cellIs" dxfId="191" priority="19" stopIfTrue="1" operator="lessThan">
      <formula>80</formula>
    </cfRule>
  </conditionalFormatting>
  <conditionalFormatting sqref="L15 L13">
    <cfRule type="cellIs" dxfId="190" priority="18" operator="greaterThan">
      <formula>0</formula>
    </cfRule>
  </conditionalFormatting>
  <conditionalFormatting sqref="F15 F19 F13">
    <cfRule type="cellIs" dxfId="189" priority="17" stopIfTrue="1" operator="greaterThan">
      <formula>10</formula>
    </cfRule>
  </conditionalFormatting>
  <conditionalFormatting sqref="K19">
    <cfRule type="cellIs" dxfId="188" priority="16" stopIfTrue="1" operator="lessThan">
      <formula>80</formula>
    </cfRule>
  </conditionalFormatting>
  <conditionalFormatting sqref="I14:J14">
    <cfRule type="cellIs" dxfId="187" priority="15" operator="greaterThan">
      <formula>20</formula>
    </cfRule>
  </conditionalFormatting>
  <conditionalFormatting sqref="J16">
    <cfRule type="cellIs" dxfId="186" priority="14" operator="greaterThan">
      <formula>20</formula>
    </cfRule>
  </conditionalFormatting>
  <conditionalFormatting sqref="I16:I17">
    <cfRule type="cellIs" dxfId="185" priority="13" operator="greaterThan">
      <formula>20</formula>
    </cfRule>
  </conditionalFormatting>
  <conditionalFormatting sqref="I19">
    <cfRule type="cellIs" dxfId="184" priority="11" operator="greaterThan">
      <formula>20</formula>
    </cfRule>
  </conditionalFormatting>
  <conditionalFormatting sqref="I20">
    <cfRule type="cellIs" dxfId="183" priority="10" operator="greaterThan">
      <formula>20</formula>
    </cfRule>
  </conditionalFormatting>
  <conditionalFormatting sqref="J20">
    <cfRule type="cellIs" dxfId="182" priority="9" operator="greaterThan">
      <formula>20</formula>
    </cfRule>
  </conditionalFormatting>
  <conditionalFormatting sqref="D15">
    <cfRule type="cellIs" dxfId="181" priority="8" operator="greaterThan">
      <formula>7</formula>
    </cfRule>
  </conditionalFormatting>
  <conditionalFormatting sqref="D17">
    <cfRule type="cellIs" dxfId="180" priority="7" operator="greaterThan">
      <formula>7</formula>
    </cfRule>
  </conditionalFormatting>
  <conditionalFormatting sqref="B17">
    <cfRule type="cellIs" dxfId="179" priority="6" operator="greaterThan">
      <formula>7</formula>
    </cfRule>
  </conditionalFormatting>
  <conditionalFormatting sqref="L19">
    <cfRule type="cellIs" dxfId="178" priority="3" operator="greaterThan">
      <formula>0</formula>
    </cfRule>
  </conditionalFormatting>
  <conditionalFormatting sqref="F17">
    <cfRule type="cellIs" dxfId="177" priority="2" stopIfTrue="1" operator="greaterThan">
      <formula>10</formula>
    </cfRule>
  </conditionalFormatting>
  <conditionalFormatting sqref="K17">
    <cfRule type="cellIs" dxfId="176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view="pageBreakPreview" topLeftCell="A4" zoomScale="60" zoomScaleNormal="100" zoomScalePageLayoutView="80" workbookViewId="0">
      <selection activeCell="H9" sqref="H9:J10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 t="s">
        <v>50</v>
      </c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>
        <v>527.79999999999995</v>
      </c>
      <c r="B9" s="62">
        <v>21</v>
      </c>
      <c r="C9" s="63"/>
      <c r="D9" s="29">
        <f>AVERAGE(B13:E24)</f>
        <v>5.088461538461539</v>
      </c>
      <c r="E9" s="31"/>
      <c r="F9" s="52">
        <f>AVERAGE(I13,I15,I17,I19)</f>
        <v>4.9333333333333336</v>
      </c>
      <c r="G9" s="53"/>
      <c r="H9" s="40">
        <v>95.1</v>
      </c>
      <c r="I9" s="66"/>
      <c r="J9" s="41"/>
      <c r="K9" s="40">
        <f>AVERAGE(L13,L15,L17,L19)</f>
        <v>0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>
        <f>AVERAGE(I14,I16,I18,I20)</f>
        <v>2.3333333333333335</v>
      </c>
      <c r="G10" s="3">
        <f>AVERAGE(J14,J16,J18,J20)</f>
        <v>2.6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>
        <v>10.15</v>
      </c>
      <c r="C13" s="31"/>
      <c r="D13" s="29">
        <v>5.1100000000000003</v>
      </c>
      <c r="E13" s="31"/>
      <c r="F13" s="46">
        <v>11.01</v>
      </c>
      <c r="G13" s="47"/>
      <c r="H13" s="48"/>
      <c r="I13" s="52">
        <v>5.0999999999999996</v>
      </c>
      <c r="J13" s="53"/>
      <c r="K13" s="26">
        <v>94.9</v>
      </c>
      <c r="L13" s="26">
        <v>0</v>
      </c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>
        <v>2.2999999999999998</v>
      </c>
      <c r="J14" s="23">
        <v>2.8</v>
      </c>
      <c r="K14" s="27"/>
      <c r="L14" s="27"/>
    </row>
    <row r="15" spans="1:12" ht="24.95" customHeight="1" thickBot="1" x14ac:dyDescent="0.25">
      <c r="A15" s="44">
        <v>0.41666666666666669</v>
      </c>
      <c r="B15" s="29">
        <v>8.3699999999999992</v>
      </c>
      <c r="C15" s="31"/>
      <c r="D15" s="29"/>
      <c r="E15" s="31"/>
      <c r="F15" s="46">
        <v>6.08</v>
      </c>
      <c r="G15" s="47"/>
      <c r="H15" s="48"/>
      <c r="I15" s="52">
        <v>4.2</v>
      </c>
      <c r="J15" s="53"/>
      <c r="K15" s="26">
        <v>95.6</v>
      </c>
      <c r="L15" s="26">
        <v>0</v>
      </c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>
        <v>2.1</v>
      </c>
      <c r="J16" s="23">
        <v>2.1</v>
      </c>
      <c r="K16" s="27"/>
      <c r="L16" s="27"/>
    </row>
    <row r="17" spans="1:12" ht="24.95" customHeight="1" thickBot="1" x14ac:dyDescent="0.25">
      <c r="A17" s="44">
        <v>0.5</v>
      </c>
      <c r="B17" s="29">
        <v>5.9</v>
      </c>
      <c r="C17" s="31"/>
      <c r="D17" s="29">
        <v>3.4</v>
      </c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>
        <v>6.69</v>
      </c>
      <c r="G19" s="47"/>
      <c r="H19" s="48"/>
      <c r="I19" s="52">
        <v>5.5</v>
      </c>
      <c r="J19" s="53"/>
      <c r="K19" s="26">
        <v>94.5</v>
      </c>
      <c r="L19" s="26">
        <v>0</v>
      </c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>
        <v>2.6</v>
      </c>
      <c r="J20" s="23">
        <v>2.9</v>
      </c>
      <c r="K20" s="27"/>
      <c r="L20" s="27"/>
    </row>
    <row r="21" spans="1:12" ht="50.1" customHeight="1" thickBot="1" x14ac:dyDescent="0.25">
      <c r="A21" s="1">
        <v>0.66666666666666663</v>
      </c>
      <c r="B21" s="28">
        <v>6.17</v>
      </c>
      <c r="C21" s="28"/>
      <c r="D21" s="28">
        <v>2.04</v>
      </c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>
        <v>2.95</v>
      </c>
      <c r="C22" s="28"/>
      <c r="D22" s="28">
        <v>3.74</v>
      </c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>
        <v>3.19</v>
      </c>
      <c r="C23" s="39"/>
      <c r="D23" s="38">
        <v>4.05</v>
      </c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>
        <v>6.41</v>
      </c>
      <c r="C24" s="28"/>
      <c r="D24" s="28">
        <v>4.67</v>
      </c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75" priority="25" operator="greaterThan">
      <formula>7</formula>
    </cfRule>
  </conditionalFormatting>
  <conditionalFormatting sqref="F9">
    <cfRule type="cellIs" dxfId="174" priority="24" operator="greaterThan">
      <formula>20</formula>
    </cfRule>
  </conditionalFormatting>
  <conditionalFormatting sqref="H9:J10">
    <cfRule type="cellIs" dxfId="173" priority="23" operator="lessThan">
      <formula>80</formula>
    </cfRule>
  </conditionalFormatting>
  <conditionalFormatting sqref="K9:L10">
    <cfRule type="cellIs" dxfId="172" priority="22" operator="greaterThan">
      <formula>0</formula>
    </cfRule>
  </conditionalFormatting>
  <conditionalFormatting sqref="B24:E24 B23 D23 B22:E22 B21:F21 B15 B19 D13 B13">
    <cfRule type="cellIs" dxfId="171" priority="21" operator="greaterThan">
      <formula>7</formula>
    </cfRule>
  </conditionalFormatting>
  <conditionalFormatting sqref="I15 I13">
    <cfRule type="cellIs" dxfId="170" priority="20" operator="greaterThan">
      <formula>20</formula>
    </cfRule>
  </conditionalFormatting>
  <conditionalFormatting sqref="K15 K13">
    <cfRule type="cellIs" dxfId="169" priority="19" stopIfTrue="1" operator="lessThan">
      <formula>80</formula>
    </cfRule>
  </conditionalFormatting>
  <conditionalFormatting sqref="L15 L13">
    <cfRule type="cellIs" dxfId="168" priority="18" operator="greaterThan">
      <formula>0</formula>
    </cfRule>
  </conditionalFormatting>
  <conditionalFormatting sqref="F15 F19 F13">
    <cfRule type="cellIs" dxfId="167" priority="17" stopIfTrue="1" operator="greaterThan">
      <formula>10</formula>
    </cfRule>
  </conditionalFormatting>
  <conditionalFormatting sqref="K19">
    <cfRule type="cellIs" dxfId="166" priority="16" stopIfTrue="1" operator="lessThan">
      <formula>80</formula>
    </cfRule>
  </conditionalFormatting>
  <conditionalFormatting sqref="I14:J14">
    <cfRule type="cellIs" dxfId="165" priority="15" operator="greaterThan">
      <formula>20</formula>
    </cfRule>
  </conditionalFormatting>
  <conditionalFormatting sqref="J16">
    <cfRule type="cellIs" dxfId="164" priority="14" operator="greaterThan">
      <formula>20</formula>
    </cfRule>
  </conditionalFormatting>
  <conditionalFormatting sqref="I16:I17">
    <cfRule type="cellIs" dxfId="163" priority="13" operator="greaterThan">
      <formula>20</formula>
    </cfRule>
  </conditionalFormatting>
  <conditionalFormatting sqref="I19">
    <cfRule type="cellIs" dxfId="162" priority="11" operator="greaterThan">
      <formula>20</formula>
    </cfRule>
  </conditionalFormatting>
  <conditionalFormatting sqref="I20">
    <cfRule type="cellIs" dxfId="161" priority="10" operator="greaterThan">
      <formula>20</formula>
    </cfRule>
  </conditionalFormatting>
  <conditionalFormatting sqref="J20">
    <cfRule type="cellIs" dxfId="160" priority="9" operator="greaterThan">
      <formula>20</formula>
    </cfRule>
  </conditionalFormatting>
  <conditionalFormatting sqref="D15">
    <cfRule type="cellIs" dxfId="159" priority="8" operator="greaterThan">
      <formula>7</formula>
    </cfRule>
  </conditionalFormatting>
  <conditionalFormatting sqref="D17">
    <cfRule type="cellIs" dxfId="158" priority="7" operator="greaterThan">
      <formula>7</formula>
    </cfRule>
  </conditionalFormatting>
  <conditionalFormatting sqref="B17">
    <cfRule type="cellIs" dxfId="157" priority="6" operator="greaterThan">
      <formula>7</formula>
    </cfRule>
  </conditionalFormatting>
  <conditionalFormatting sqref="L19">
    <cfRule type="cellIs" dxfId="156" priority="3" operator="greaterThan">
      <formula>0</formula>
    </cfRule>
  </conditionalFormatting>
  <conditionalFormatting sqref="F17">
    <cfRule type="cellIs" dxfId="155" priority="2" stopIfTrue="1" operator="greaterThan">
      <formula>10</formula>
    </cfRule>
  </conditionalFormatting>
  <conditionalFormatting sqref="K17">
    <cfRule type="cellIs" dxfId="154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8" zoomScale="78" zoomScaleNormal="100" zoomScaleSheetLayoutView="78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AVERAGE(B13:E24)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/>
      <c r="C22" s="28"/>
      <c r="D22" s="28"/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/>
      <c r="C23" s="39"/>
      <c r="D23" s="38"/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/>
      <c r="C24" s="28"/>
      <c r="D24" s="28"/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53" priority="25" operator="greaterThan">
      <formula>7</formula>
    </cfRule>
  </conditionalFormatting>
  <conditionalFormatting sqref="F9">
    <cfRule type="cellIs" dxfId="152" priority="24" operator="greaterThan">
      <formula>20</formula>
    </cfRule>
  </conditionalFormatting>
  <conditionalFormatting sqref="H9:J10">
    <cfRule type="cellIs" dxfId="151" priority="23" operator="lessThan">
      <formula>80</formula>
    </cfRule>
  </conditionalFormatting>
  <conditionalFormatting sqref="K9:L10">
    <cfRule type="cellIs" dxfId="150" priority="22" operator="greaterThan">
      <formula>0</formula>
    </cfRule>
  </conditionalFormatting>
  <conditionalFormatting sqref="B24:E24 B23 D23 B22:E22 B21:F21 B15 B19 D13 B13">
    <cfRule type="cellIs" dxfId="149" priority="21" operator="greaterThan">
      <formula>7</formula>
    </cfRule>
  </conditionalFormatting>
  <conditionalFormatting sqref="I15 I13">
    <cfRule type="cellIs" dxfId="148" priority="20" operator="greaterThan">
      <formula>20</formula>
    </cfRule>
  </conditionalFormatting>
  <conditionalFormatting sqref="K15 K13">
    <cfRule type="cellIs" dxfId="147" priority="19" stopIfTrue="1" operator="lessThan">
      <formula>80</formula>
    </cfRule>
  </conditionalFormatting>
  <conditionalFormatting sqref="L15 L13">
    <cfRule type="cellIs" dxfId="146" priority="18" operator="greaterThan">
      <formula>0</formula>
    </cfRule>
  </conditionalFormatting>
  <conditionalFormatting sqref="F15 F19 F13">
    <cfRule type="cellIs" dxfId="145" priority="17" stopIfTrue="1" operator="greaterThan">
      <formula>10</formula>
    </cfRule>
  </conditionalFormatting>
  <conditionalFormatting sqref="K19">
    <cfRule type="cellIs" dxfId="144" priority="16" stopIfTrue="1" operator="lessThan">
      <formula>80</formula>
    </cfRule>
  </conditionalFormatting>
  <conditionalFormatting sqref="I14:J14">
    <cfRule type="cellIs" dxfId="143" priority="15" operator="greaterThan">
      <formula>20</formula>
    </cfRule>
  </conditionalFormatting>
  <conditionalFormatting sqref="J16">
    <cfRule type="cellIs" dxfId="142" priority="14" operator="greaterThan">
      <formula>20</formula>
    </cfRule>
  </conditionalFormatting>
  <conditionalFormatting sqref="I16:I17">
    <cfRule type="cellIs" dxfId="141" priority="13" operator="greaterThan">
      <formula>20</formula>
    </cfRule>
  </conditionalFormatting>
  <conditionalFormatting sqref="I19">
    <cfRule type="cellIs" dxfId="140" priority="11" operator="greaterThan">
      <formula>20</formula>
    </cfRule>
  </conditionalFormatting>
  <conditionalFormatting sqref="I20">
    <cfRule type="cellIs" dxfId="139" priority="10" operator="greaterThan">
      <formula>20</formula>
    </cfRule>
  </conditionalFormatting>
  <conditionalFormatting sqref="J20">
    <cfRule type="cellIs" dxfId="138" priority="9" operator="greaterThan">
      <formula>20</formula>
    </cfRule>
  </conditionalFormatting>
  <conditionalFormatting sqref="D15">
    <cfRule type="cellIs" dxfId="137" priority="8" operator="greaterThan">
      <formula>7</formula>
    </cfRule>
  </conditionalFormatting>
  <conditionalFormatting sqref="D17">
    <cfRule type="cellIs" dxfId="136" priority="7" operator="greaterThan">
      <formula>7</formula>
    </cfRule>
  </conditionalFormatting>
  <conditionalFormatting sqref="B17">
    <cfRule type="cellIs" dxfId="135" priority="6" operator="greaterThan">
      <formula>7</formula>
    </cfRule>
  </conditionalFormatting>
  <conditionalFormatting sqref="L19">
    <cfRule type="cellIs" dxfId="134" priority="3" operator="greaterThan">
      <formula>0</formula>
    </cfRule>
  </conditionalFormatting>
  <conditionalFormatting sqref="F17">
    <cfRule type="cellIs" dxfId="133" priority="2" stopIfTrue="1" operator="greaterThan">
      <formula>10</formula>
    </cfRule>
  </conditionalFormatting>
  <conditionalFormatting sqref="K17">
    <cfRule type="cellIs" dxfId="132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9" zoomScale="87" zoomScaleNormal="100" zoomScaleSheetLayoutView="87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AVERAGE(B13:E25)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0.70833333333333337</v>
      </c>
      <c r="B22" s="38"/>
      <c r="C22" s="39"/>
      <c r="D22" s="38"/>
      <c r="E22" s="39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0.83333333333333337</v>
      </c>
      <c r="B23" s="28"/>
      <c r="C23" s="28"/>
      <c r="D23" s="28"/>
      <c r="E23" s="28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1</v>
      </c>
      <c r="B24" s="38"/>
      <c r="C24" s="39"/>
      <c r="D24" s="38"/>
      <c r="E24" s="39"/>
      <c r="F24" s="32"/>
      <c r="G24" s="33"/>
      <c r="H24" s="33"/>
      <c r="I24" s="33"/>
      <c r="J24" s="33"/>
      <c r="K24" s="33"/>
      <c r="L24" s="34"/>
    </row>
    <row r="25" spans="1:12" ht="50.1" customHeight="1" thickBot="1" x14ac:dyDescent="0.25">
      <c r="A25" s="1">
        <v>0.16666666666666666</v>
      </c>
      <c r="B25" s="28"/>
      <c r="C25" s="28"/>
      <c r="D25" s="28"/>
      <c r="E25" s="28"/>
      <c r="F25" s="35"/>
      <c r="G25" s="36"/>
      <c r="H25" s="36"/>
      <c r="I25" s="36"/>
      <c r="J25" s="36"/>
      <c r="K25" s="36"/>
      <c r="L25" s="37"/>
    </row>
  </sheetData>
  <mergeCells count="69">
    <mergeCell ref="B19:E20"/>
    <mergeCell ref="F19:H20"/>
    <mergeCell ref="I19:J19"/>
    <mergeCell ref="K19:K20"/>
    <mergeCell ref="B21:C21"/>
    <mergeCell ref="D21:E21"/>
    <mergeCell ref="F21:L25"/>
    <mergeCell ref="B23:C23"/>
    <mergeCell ref="D23:E23"/>
    <mergeCell ref="B24:C24"/>
    <mergeCell ref="D24:E24"/>
    <mergeCell ref="B25:C25"/>
    <mergeCell ref="D25:E25"/>
    <mergeCell ref="B22:C22"/>
    <mergeCell ref="D22:E22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31" priority="25" operator="greaterThan">
      <formula>7</formula>
    </cfRule>
  </conditionalFormatting>
  <conditionalFormatting sqref="F9">
    <cfRule type="cellIs" dxfId="130" priority="24" operator="greaterThan">
      <formula>20</formula>
    </cfRule>
  </conditionalFormatting>
  <conditionalFormatting sqref="H9:J10">
    <cfRule type="cellIs" dxfId="129" priority="23" operator="lessThan">
      <formula>80</formula>
    </cfRule>
  </conditionalFormatting>
  <conditionalFormatting sqref="K9:L10">
    <cfRule type="cellIs" dxfId="128" priority="22" operator="greaterThan">
      <formula>0</formula>
    </cfRule>
  </conditionalFormatting>
  <conditionalFormatting sqref="B25:E25 B24 D24 B23:E23 B21:F21 B15 B19 D13 B13 B22 D22 F22">
    <cfRule type="cellIs" dxfId="127" priority="21" operator="greaterThan">
      <formula>7</formula>
    </cfRule>
  </conditionalFormatting>
  <conditionalFormatting sqref="I15 I13">
    <cfRule type="cellIs" dxfId="126" priority="20" operator="greaterThan">
      <formula>20</formula>
    </cfRule>
  </conditionalFormatting>
  <conditionalFormatting sqref="K15 K13">
    <cfRule type="cellIs" dxfId="125" priority="19" stopIfTrue="1" operator="lessThan">
      <formula>80</formula>
    </cfRule>
  </conditionalFormatting>
  <conditionalFormatting sqref="L15 L13">
    <cfRule type="cellIs" dxfId="124" priority="18" operator="greaterThan">
      <formula>0</formula>
    </cfRule>
  </conditionalFormatting>
  <conditionalFormatting sqref="F15 F19 F13">
    <cfRule type="cellIs" dxfId="123" priority="17" stopIfTrue="1" operator="greaterThan">
      <formula>10</formula>
    </cfRule>
  </conditionalFormatting>
  <conditionalFormatting sqref="K19">
    <cfRule type="cellIs" dxfId="122" priority="16" stopIfTrue="1" operator="lessThan">
      <formula>80</formula>
    </cfRule>
  </conditionalFormatting>
  <conditionalFormatting sqref="I14:J14">
    <cfRule type="cellIs" dxfId="121" priority="15" operator="greaterThan">
      <formula>20</formula>
    </cfRule>
  </conditionalFormatting>
  <conditionalFormatting sqref="J16">
    <cfRule type="cellIs" dxfId="120" priority="14" operator="greaterThan">
      <formula>20</formula>
    </cfRule>
  </conditionalFormatting>
  <conditionalFormatting sqref="I16:I17">
    <cfRule type="cellIs" dxfId="119" priority="13" operator="greaterThan">
      <formula>20</formula>
    </cfRule>
  </conditionalFormatting>
  <conditionalFormatting sqref="I19">
    <cfRule type="cellIs" dxfId="118" priority="11" operator="greaterThan">
      <formula>20</formula>
    </cfRule>
  </conditionalFormatting>
  <conditionalFormatting sqref="I20">
    <cfRule type="cellIs" dxfId="117" priority="10" operator="greaterThan">
      <formula>20</formula>
    </cfRule>
  </conditionalFormatting>
  <conditionalFormatting sqref="J20">
    <cfRule type="cellIs" dxfId="116" priority="9" operator="greaterThan">
      <formula>20</formula>
    </cfRule>
  </conditionalFormatting>
  <conditionalFormatting sqref="D15">
    <cfRule type="cellIs" dxfId="115" priority="8" operator="greaterThan">
      <formula>7</formula>
    </cfRule>
  </conditionalFormatting>
  <conditionalFormatting sqref="D17">
    <cfRule type="cellIs" dxfId="114" priority="7" operator="greaterThan">
      <formula>7</formula>
    </cfRule>
  </conditionalFormatting>
  <conditionalFormatting sqref="B17">
    <cfRule type="cellIs" dxfId="113" priority="6" operator="greaterThan">
      <formula>7</formula>
    </cfRule>
  </conditionalFormatting>
  <conditionalFormatting sqref="L19">
    <cfRule type="cellIs" dxfId="112" priority="3" operator="greaterThan">
      <formula>0</formula>
    </cfRule>
  </conditionalFormatting>
  <conditionalFormatting sqref="F17">
    <cfRule type="cellIs" dxfId="111" priority="2" stopIfTrue="1" operator="greaterThan">
      <formula>10</formula>
    </cfRule>
  </conditionalFormatting>
  <conditionalFormatting sqref="K17">
    <cfRule type="cellIs" dxfId="110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9" zoomScale="82" zoomScaleNormal="100" zoomScaleSheetLayoutView="82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AVERAGE(B13:E24)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/>
      <c r="C22" s="28"/>
      <c r="D22" s="28"/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/>
      <c r="C23" s="39"/>
      <c r="D23" s="38"/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/>
      <c r="C24" s="28"/>
      <c r="D24" s="28"/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109" priority="25" operator="greaterThan">
      <formula>7</formula>
    </cfRule>
  </conditionalFormatting>
  <conditionalFormatting sqref="F9">
    <cfRule type="cellIs" dxfId="108" priority="24" operator="greaterThan">
      <formula>20</formula>
    </cfRule>
  </conditionalFormatting>
  <conditionalFormatting sqref="H9:J10">
    <cfRule type="cellIs" dxfId="107" priority="23" operator="lessThan">
      <formula>80</formula>
    </cfRule>
  </conditionalFormatting>
  <conditionalFormatting sqref="K9:L10">
    <cfRule type="cellIs" dxfId="106" priority="22" operator="greaterThan">
      <formula>0</formula>
    </cfRule>
  </conditionalFormatting>
  <conditionalFormatting sqref="B24:E24 B23 D23 B22:E22 B21:F21 B15 B19 D13 B13">
    <cfRule type="cellIs" dxfId="105" priority="21" operator="greaterThan">
      <formula>7</formula>
    </cfRule>
  </conditionalFormatting>
  <conditionalFormatting sqref="I15 I13">
    <cfRule type="cellIs" dxfId="104" priority="20" operator="greaterThan">
      <formula>20</formula>
    </cfRule>
  </conditionalFormatting>
  <conditionalFormatting sqref="K15 K13">
    <cfRule type="cellIs" dxfId="103" priority="19" stopIfTrue="1" operator="lessThan">
      <formula>80</formula>
    </cfRule>
  </conditionalFormatting>
  <conditionalFormatting sqref="L15 L13">
    <cfRule type="cellIs" dxfId="102" priority="18" operator="greaterThan">
      <formula>0</formula>
    </cfRule>
  </conditionalFormatting>
  <conditionalFormatting sqref="F15 F19 F13">
    <cfRule type="cellIs" dxfId="101" priority="17" stopIfTrue="1" operator="greaterThan">
      <formula>10</formula>
    </cfRule>
  </conditionalFormatting>
  <conditionalFormatting sqref="K19">
    <cfRule type="cellIs" dxfId="100" priority="16" stopIfTrue="1" operator="lessThan">
      <formula>80</formula>
    </cfRule>
  </conditionalFormatting>
  <conditionalFormatting sqref="I14:J14">
    <cfRule type="cellIs" dxfId="99" priority="15" operator="greaterThan">
      <formula>20</formula>
    </cfRule>
  </conditionalFormatting>
  <conditionalFormatting sqref="J16">
    <cfRule type="cellIs" dxfId="98" priority="14" operator="greaterThan">
      <formula>20</formula>
    </cfRule>
  </conditionalFormatting>
  <conditionalFormatting sqref="I16:I17">
    <cfRule type="cellIs" dxfId="97" priority="13" operator="greaterThan">
      <formula>20</formula>
    </cfRule>
  </conditionalFormatting>
  <conditionalFormatting sqref="I19">
    <cfRule type="cellIs" dxfId="96" priority="11" operator="greaterThan">
      <formula>20</formula>
    </cfRule>
  </conditionalFormatting>
  <conditionalFormatting sqref="I20">
    <cfRule type="cellIs" dxfId="95" priority="10" operator="greaterThan">
      <formula>20</formula>
    </cfRule>
  </conditionalFormatting>
  <conditionalFormatting sqref="J20">
    <cfRule type="cellIs" dxfId="94" priority="9" operator="greaterThan">
      <formula>20</formula>
    </cfRule>
  </conditionalFormatting>
  <conditionalFormatting sqref="D15">
    <cfRule type="cellIs" dxfId="93" priority="8" operator="greaterThan">
      <formula>7</formula>
    </cfRule>
  </conditionalFormatting>
  <conditionalFormatting sqref="D17">
    <cfRule type="cellIs" dxfId="92" priority="7" operator="greaterThan">
      <formula>7</formula>
    </cfRule>
  </conditionalFormatting>
  <conditionalFormatting sqref="B17">
    <cfRule type="cellIs" dxfId="91" priority="6" operator="greaterThan">
      <formula>7</formula>
    </cfRule>
  </conditionalFormatting>
  <conditionalFormatting sqref="L19">
    <cfRule type="cellIs" dxfId="90" priority="3" operator="greaterThan">
      <formula>0</formula>
    </cfRule>
  </conditionalFormatting>
  <conditionalFormatting sqref="F17">
    <cfRule type="cellIs" dxfId="89" priority="2" stopIfTrue="1" operator="greaterThan">
      <formula>10</formula>
    </cfRule>
  </conditionalFormatting>
  <conditionalFormatting sqref="K17">
    <cfRule type="cellIs" dxfId="88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7" zoomScale="73" zoomScaleNormal="100" zoomScaleSheetLayoutView="73" zoomScalePageLayoutView="80" workbookViewId="0">
      <selection activeCell="F21" sqref="F21:L24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AVERAGE(B13:E24)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/>
      <c r="C22" s="28"/>
      <c r="D22" s="28"/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/>
      <c r="C23" s="39"/>
      <c r="D23" s="38"/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/>
      <c r="C24" s="28"/>
      <c r="D24" s="28"/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87" priority="25" operator="greaterThan">
      <formula>7</formula>
    </cfRule>
  </conditionalFormatting>
  <conditionalFormatting sqref="F9">
    <cfRule type="cellIs" dxfId="86" priority="24" operator="greaterThan">
      <formula>20</formula>
    </cfRule>
  </conditionalFormatting>
  <conditionalFormatting sqref="H9:J10">
    <cfRule type="cellIs" dxfId="85" priority="23" operator="lessThan">
      <formula>80</formula>
    </cfRule>
  </conditionalFormatting>
  <conditionalFormatting sqref="K9:L10">
    <cfRule type="cellIs" dxfId="84" priority="22" operator="greaterThan">
      <formula>0</formula>
    </cfRule>
  </conditionalFormatting>
  <conditionalFormatting sqref="B24:E24 B23 D23 B22:E22 B21:F21 B15 B19 D13 B13">
    <cfRule type="cellIs" dxfId="83" priority="21" operator="greaterThan">
      <formula>7</formula>
    </cfRule>
  </conditionalFormatting>
  <conditionalFormatting sqref="I15 I13">
    <cfRule type="cellIs" dxfId="82" priority="20" operator="greaterThan">
      <formula>20</formula>
    </cfRule>
  </conditionalFormatting>
  <conditionalFormatting sqref="K15 K13">
    <cfRule type="cellIs" dxfId="81" priority="19" stopIfTrue="1" operator="lessThan">
      <formula>80</formula>
    </cfRule>
  </conditionalFormatting>
  <conditionalFormatting sqref="L15 L13">
    <cfRule type="cellIs" dxfId="80" priority="18" operator="greaterThan">
      <formula>0</formula>
    </cfRule>
  </conditionalFormatting>
  <conditionalFormatting sqref="F15 F19 F13">
    <cfRule type="cellIs" dxfId="79" priority="17" stopIfTrue="1" operator="greaterThan">
      <formula>10</formula>
    </cfRule>
  </conditionalFormatting>
  <conditionalFormatting sqref="K19">
    <cfRule type="cellIs" dxfId="78" priority="16" stopIfTrue="1" operator="lessThan">
      <formula>80</formula>
    </cfRule>
  </conditionalFormatting>
  <conditionalFormatting sqref="I14:J14">
    <cfRule type="cellIs" dxfId="77" priority="15" operator="greaterThan">
      <formula>20</formula>
    </cfRule>
  </conditionalFormatting>
  <conditionalFormatting sqref="J16">
    <cfRule type="cellIs" dxfId="76" priority="14" operator="greaterThan">
      <formula>20</formula>
    </cfRule>
  </conditionalFormatting>
  <conditionalFormatting sqref="I16:I17">
    <cfRule type="cellIs" dxfId="75" priority="13" operator="greaterThan">
      <formula>20</formula>
    </cfRule>
  </conditionalFormatting>
  <conditionalFormatting sqref="I19">
    <cfRule type="cellIs" dxfId="74" priority="11" operator="greaterThan">
      <formula>20</formula>
    </cfRule>
  </conditionalFormatting>
  <conditionalFormatting sqref="I20">
    <cfRule type="cellIs" dxfId="73" priority="10" operator="greaterThan">
      <formula>20</formula>
    </cfRule>
  </conditionalFormatting>
  <conditionalFormatting sqref="J20">
    <cfRule type="cellIs" dxfId="72" priority="9" operator="greaterThan">
      <formula>20</formula>
    </cfRule>
  </conditionalFormatting>
  <conditionalFormatting sqref="D15">
    <cfRule type="cellIs" dxfId="71" priority="8" operator="greaterThan">
      <formula>7</formula>
    </cfRule>
  </conditionalFormatting>
  <conditionalFormatting sqref="D17">
    <cfRule type="cellIs" dxfId="70" priority="7" operator="greaterThan">
      <formula>7</formula>
    </cfRule>
  </conditionalFormatting>
  <conditionalFormatting sqref="B17">
    <cfRule type="cellIs" dxfId="69" priority="6" operator="greaterThan">
      <formula>7</formula>
    </cfRule>
  </conditionalFormatting>
  <conditionalFormatting sqref="L19">
    <cfRule type="cellIs" dxfId="68" priority="3" operator="greaterThan">
      <formula>0</formula>
    </cfRule>
  </conditionalFormatting>
  <conditionalFormatting sqref="F17">
    <cfRule type="cellIs" dxfId="67" priority="2" stopIfTrue="1" operator="greaterThan">
      <formula>10</formula>
    </cfRule>
  </conditionalFormatting>
  <conditionalFormatting sqref="K17">
    <cfRule type="cellIs" dxfId="66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8" zoomScale="80" zoomScaleNormal="100" zoomScaleSheetLayoutView="80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AVERAGE(B13:E24)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/>
      <c r="C22" s="28"/>
      <c r="D22" s="28"/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/>
      <c r="C23" s="39"/>
      <c r="D23" s="38"/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/>
      <c r="C24" s="28"/>
      <c r="D24" s="28"/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65" priority="25" operator="greaterThan">
      <formula>7</formula>
    </cfRule>
  </conditionalFormatting>
  <conditionalFormatting sqref="F9">
    <cfRule type="cellIs" dxfId="64" priority="24" operator="greaterThan">
      <formula>20</formula>
    </cfRule>
  </conditionalFormatting>
  <conditionalFormatting sqref="H9:J10">
    <cfRule type="cellIs" dxfId="63" priority="23" operator="lessThan">
      <formula>80</formula>
    </cfRule>
  </conditionalFormatting>
  <conditionalFormatting sqref="K9:L10">
    <cfRule type="cellIs" dxfId="62" priority="22" operator="greaterThan">
      <formula>0</formula>
    </cfRule>
  </conditionalFormatting>
  <conditionalFormatting sqref="B24:E24 B23 D23 B22:E22 B21:F21 B15 B19 D13 B13">
    <cfRule type="cellIs" dxfId="61" priority="21" operator="greaterThan">
      <formula>7</formula>
    </cfRule>
  </conditionalFormatting>
  <conditionalFormatting sqref="I15 I13">
    <cfRule type="cellIs" dxfId="60" priority="20" operator="greaterThan">
      <formula>20</formula>
    </cfRule>
  </conditionalFormatting>
  <conditionalFormatting sqref="K15 K13">
    <cfRule type="cellIs" dxfId="59" priority="19" stopIfTrue="1" operator="lessThan">
      <formula>80</formula>
    </cfRule>
  </conditionalFormatting>
  <conditionalFormatting sqref="L15 L13">
    <cfRule type="cellIs" dxfId="58" priority="18" operator="greaterThan">
      <formula>0</formula>
    </cfRule>
  </conditionalFormatting>
  <conditionalFormatting sqref="F15 F19 F13">
    <cfRule type="cellIs" dxfId="57" priority="17" stopIfTrue="1" operator="greaterThan">
      <formula>10</formula>
    </cfRule>
  </conditionalFormatting>
  <conditionalFormatting sqref="K19">
    <cfRule type="cellIs" dxfId="56" priority="16" stopIfTrue="1" operator="lessThan">
      <formula>80</formula>
    </cfRule>
  </conditionalFormatting>
  <conditionalFormatting sqref="I14:J14">
    <cfRule type="cellIs" dxfId="55" priority="15" operator="greaterThan">
      <formula>20</formula>
    </cfRule>
  </conditionalFormatting>
  <conditionalFormatting sqref="J16">
    <cfRule type="cellIs" dxfId="54" priority="14" operator="greaterThan">
      <formula>20</formula>
    </cfRule>
  </conditionalFormatting>
  <conditionalFormatting sqref="I16:I17">
    <cfRule type="cellIs" dxfId="53" priority="13" operator="greaterThan">
      <formula>20</formula>
    </cfRule>
  </conditionalFormatting>
  <conditionalFormatting sqref="I19">
    <cfRule type="cellIs" dxfId="52" priority="11" operator="greaterThan">
      <formula>20</formula>
    </cfRule>
  </conditionalFormatting>
  <conditionalFormatting sqref="I20">
    <cfRule type="cellIs" dxfId="51" priority="10" operator="greaterThan">
      <formula>20</formula>
    </cfRule>
  </conditionalFormatting>
  <conditionalFormatting sqref="J20">
    <cfRule type="cellIs" dxfId="50" priority="9" operator="greaterThan">
      <formula>20</formula>
    </cfRule>
  </conditionalFormatting>
  <conditionalFormatting sqref="D15">
    <cfRule type="cellIs" dxfId="49" priority="8" operator="greaterThan">
      <formula>7</formula>
    </cfRule>
  </conditionalFormatting>
  <conditionalFormatting sqref="D17">
    <cfRule type="cellIs" dxfId="48" priority="7" operator="greaterThan">
      <formula>7</formula>
    </cfRule>
  </conditionalFormatting>
  <conditionalFormatting sqref="B17">
    <cfRule type="cellIs" dxfId="47" priority="6" operator="greaterThan">
      <formula>7</formula>
    </cfRule>
  </conditionalFormatting>
  <conditionalFormatting sqref="L19">
    <cfRule type="cellIs" dxfId="46" priority="3" operator="greaterThan">
      <formula>0</formula>
    </cfRule>
  </conditionalFormatting>
  <conditionalFormatting sqref="F17">
    <cfRule type="cellIs" dxfId="45" priority="2" stopIfTrue="1" operator="greaterThan">
      <formula>10</formula>
    </cfRule>
  </conditionalFormatting>
  <conditionalFormatting sqref="K17">
    <cfRule type="cellIs" dxfId="44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10" zoomScale="77" zoomScaleNormal="100" zoomScaleSheetLayoutView="77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AVERAGE(B13:E24)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29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5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/>
      <c r="C22" s="28"/>
      <c r="D22" s="28"/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/>
      <c r="C23" s="39"/>
      <c r="D23" s="38"/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/>
      <c r="C24" s="28"/>
      <c r="D24" s="28"/>
      <c r="E24" s="28"/>
      <c r="F24" s="35"/>
      <c r="G24" s="36"/>
      <c r="H24" s="36"/>
      <c r="I24" s="36"/>
      <c r="J24" s="36"/>
      <c r="K24" s="36"/>
      <c r="L24" s="37"/>
    </row>
  </sheetData>
  <mergeCells count="68"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B19:C20"/>
    <mergeCell ref="D19:E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43" priority="25" operator="greaterThan">
      <formula>7</formula>
    </cfRule>
  </conditionalFormatting>
  <conditionalFormatting sqref="F9">
    <cfRule type="cellIs" dxfId="42" priority="24" operator="greaterThan">
      <formula>20</formula>
    </cfRule>
  </conditionalFormatting>
  <conditionalFormatting sqref="H9:J10">
    <cfRule type="cellIs" dxfId="41" priority="23" operator="lessThan">
      <formula>80</formula>
    </cfRule>
  </conditionalFormatting>
  <conditionalFormatting sqref="K9:L10">
    <cfRule type="cellIs" dxfId="40" priority="22" operator="greaterThan">
      <formula>0</formula>
    </cfRule>
  </conditionalFormatting>
  <conditionalFormatting sqref="B24:E24 B23 D23 B22:E22 B21:F21 B15 B19 D13 B13">
    <cfRule type="cellIs" dxfId="39" priority="21" operator="greaterThan">
      <formula>7</formula>
    </cfRule>
  </conditionalFormatting>
  <conditionalFormatting sqref="I15 I13">
    <cfRule type="cellIs" dxfId="38" priority="20" operator="greaterThan">
      <formula>20</formula>
    </cfRule>
  </conditionalFormatting>
  <conditionalFormatting sqref="K15 K13">
    <cfRule type="cellIs" dxfId="37" priority="19" stopIfTrue="1" operator="lessThan">
      <formula>80</formula>
    </cfRule>
  </conditionalFormatting>
  <conditionalFormatting sqref="L15 L13">
    <cfRule type="cellIs" dxfId="36" priority="18" operator="greaterThan">
      <formula>0</formula>
    </cfRule>
  </conditionalFormatting>
  <conditionalFormatting sqref="F15 F19 F13">
    <cfRule type="cellIs" dxfId="35" priority="17" stopIfTrue="1" operator="greaterThan">
      <formula>10</formula>
    </cfRule>
  </conditionalFormatting>
  <conditionalFormatting sqref="K19">
    <cfRule type="cellIs" dxfId="34" priority="16" stopIfTrue="1" operator="lessThan">
      <formula>80</formula>
    </cfRule>
  </conditionalFormatting>
  <conditionalFormatting sqref="I14:J14">
    <cfRule type="cellIs" dxfId="33" priority="15" operator="greaterThan">
      <formula>20</formula>
    </cfRule>
  </conditionalFormatting>
  <conditionalFormatting sqref="J16">
    <cfRule type="cellIs" dxfId="32" priority="14" operator="greaterThan">
      <formula>20</formula>
    </cfRule>
  </conditionalFormatting>
  <conditionalFormatting sqref="I16:I17">
    <cfRule type="cellIs" dxfId="31" priority="13" operator="greaterThan">
      <formula>20</formula>
    </cfRule>
  </conditionalFormatting>
  <conditionalFormatting sqref="I19">
    <cfRule type="cellIs" dxfId="30" priority="11" operator="greaterThan">
      <formula>20</formula>
    </cfRule>
  </conditionalFormatting>
  <conditionalFormatting sqref="I20">
    <cfRule type="cellIs" dxfId="29" priority="10" operator="greaterThan">
      <formula>20</formula>
    </cfRule>
  </conditionalFormatting>
  <conditionalFormatting sqref="J20">
    <cfRule type="cellIs" dxfId="28" priority="9" operator="greaterThan">
      <formula>20</formula>
    </cfRule>
  </conditionalFormatting>
  <conditionalFormatting sqref="D15">
    <cfRule type="cellIs" dxfId="27" priority="8" operator="greaterThan">
      <formula>7</formula>
    </cfRule>
  </conditionalFormatting>
  <conditionalFormatting sqref="D17">
    <cfRule type="cellIs" dxfId="26" priority="7" operator="greaterThan">
      <formula>7</formula>
    </cfRule>
  </conditionalFormatting>
  <conditionalFormatting sqref="B17">
    <cfRule type="cellIs" dxfId="25" priority="6" operator="greaterThan">
      <formula>7</formula>
    </cfRule>
  </conditionalFormatting>
  <conditionalFormatting sqref="L19">
    <cfRule type="cellIs" dxfId="24" priority="3" operator="greaterThan">
      <formula>0</formula>
    </cfRule>
  </conditionalFormatting>
  <conditionalFormatting sqref="F17">
    <cfRule type="cellIs" dxfId="23" priority="2" stopIfTrue="1" operator="greaterThan">
      <formula>10</formula>
    </cfRule>
  </conditionalFormatting>
  <conditionalFormatting sqref="K17">
    <cfRule type="cellIs" dxfId="22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topLeftCell="A5" zoomScale="68" zoomScaleNormal="100" zoomScaleSheetLayoutView="68" zoomScalePageLayoutView="80" workbookViewId="0">
      <selection activeCell="K17" sqref="K17:L18"/>
    </sheetView>
  </sheetViews>
  <sheetFormatPr defaultColWidth="9.75" defaultRowHeight="14.25" x14ac:dyDescent="0.2"/>
  <cols>
    <col min="1" max="1" width="19.625" customWidth="1"/>
    <col min="2" max="3" width="13.375" customWidth="1"/>
    <col min="4" max="4" width="11.125" customWidth="1"/>
    <col min="5" max="5" width="13.625" customWidth="1"/>
    <col min="6" max="6" width="23.125" customWidth="1"/>
    <col min="7" max="7" width="26.25" customWidth="1"/>
    <col min="8" max="8" width="1.625" hidden="1" customWidth="1"/>
    <col min="9" max="9" width="14.75" customWidth="1"/>
    <col min="10" max="10" width="13.875" customWidth="1"/>
    <col min="11" max="11" width="14.375" customWidth="1"/>
    <col min="12" max="12" width="13.25" customWidth="1"/>
  </cols>
  <sheetData>
    <row r="1" spans="1:12" ht="102.75" customHeight="1" thickBot="1" x14ac:dyDescent="0.25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pans="1:12" ht="40.5" customHeight="1" x14ac:dyDescent="0.2">
      <c r="A2" s="86" t="s">
        <v>25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/>
    </row>
    <row r="3" spans="1:12" ht="40.5" customHeight="1" x14ac:dyDescent="0.2">
      <c r="A3" s="89" t="s">
        <v>24</v>
      </c>
      <c r="B3" s="89"/>
      <c r="C3" s="89" t="s">
        <v>23</v>
      </c>
      <c r="D3" s="89"/>
      <c r="E3" s="89" t="s">
        <v>22</v>
      </c>
      <c r="F3" s="89"/>
      <c r="G3" s="89"/>
      <c r="H3" s="89" t="s">
        <v>21</v>
      </c>
      <c r="I3" s="89"/>
      <c r="J3" s="89"/>
      <c r="K3" s="89" t="s">
        <v>20</v>
      </c>
      <c r="L3" s="89"/>
    </row>
    <row r="4" spans="1:12" ht="40.5" customHeight="1" x14ac:dyDescent="0.2">
      <c r="A4" s="74">
        <v>48527531</v>
      </c>
      <c r="B4" s="74"/>
      <c r="C4" s="74"/>
      <c r="D4" s="74"/>
      <c r="E4" s="74"/>
      <c r="F4" s="74"/>
      <c r="G4" s="74"/>
      <c r="H4" s="74" t="s">
        <v>19</v>
      </c>
      <c r="I4" s="74"/>
      <c r="J4" s="74"/>
      <c r="K4" s="75" t="s">
        <v>18</v>
      </c>
      <c r="L4" s="75"/>
    </row>
    <row r="5" spans="1:12" ht="40.5" customHeight="1" thickBot="1" x14ac:dyDescent="0.25">
      <c r="A5" s="80" t="s">
        <v>17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/>
    </row>
    <row r="6" spans="1:12" ht="21.75" customHeight="1" thickBot="1" x14ac:dyDescent="0.35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6"/>
    </row>
    <row r="7" spans="1:12" ht="24.95" customHeight="1" thickBot="1" x14ac:dyDescent="0.25">
      <c r="A7" s="54" t="s">
        <v>16</v>
      </c>
      <c r="B7" s="76" t="s">
        <v>15</v>
      </c>
      <c r="C7" s="77"/>
      <c r="D7" s="70" t="s">
        <v>14</v>
      </c>
      <c r="E7" s="70"/>
      <c r="F7" s="72" t="s">
        <v>13</v>
      </c>
      <c r="G7" s="73"/>
      <c r="H7" s="70" t="s">
        <v>12</v>
      </c>
      <c r="I7" s="70"/>
      <c r="J7" s="70"/>
      <c r="K7" s="56" t="s">
        <v>11</v>
      </c>
      <c r="L7" s="57"/>
    </row>
    <row r="8" spans="1:12" ht="24.95" customHeight="1" thickBot="1" x14ac:dyDescent="0.25">
      <c r="A8" s="55"/>
      <c r="B8" s="78"/>
      <c r="C8" s="79"/>
      <c r="D8" s="71"/>
      <c r="E8" s="71"/>
      <c r="F8" s="5" t="s">
        <v>10</v>
      </c>
      <c r="G8" s="5" t="s">
        <v>9</v>
      </c>
      <c r="H8" s="71"/>
      <c r="I8" s="71"/>
      <c r="J8" s="71"/>
      <c r="K8" s="58"/>
      <c r="L8" s="59"/>
    </row>
    <row r="9" spans="1:12" ht="24.95" customHeight="1" thickBot="1" x14ac:dyDescent="0.25">
      <c r="A9" s="60"/>
      <c r="B9" s="62"/>
      <c r="C9" s="63"/>
      <c r="D9" s="29" t="e">
        <f>AVERAGE(B13:E24)</f>
        <v>#DIV/0!</v>
      </c>
      <c r="E9" s="31"/>
      <c r="F9" s="52" t="e">
        <f>AVERAGE(I13,I15,I17,I19)</f>
        <v>#DIV/0!</v>
      </c>
      <c r="G9" s="53"/>
      <c r="H9" s="40" t="e">
        <f>AVERAGE(K13,K15,K17,K19)</f>
        <v>#DIV/0!</v>
      </c>
      <c r="I9" s="66"/>
      <c r="J9" s="41"/>
      <c r="K9" s="40" t="e">
        <f>AVERAGE(L13,L15,L17,L19)</f>
        <v>#DIV/0!</v>
      </c>
      <c r="L9" s="41"/>
    </row>
    <row r="10" spans="1:12" ht="24.95" customHeight="1" thickBot="1" x14ac:dyDescent="0.25">
      <c r="A10" s="61"/>
      <c r="B10" s="64"/>
      <c r="C10" s="65"/>
      <c r="D10" s="35"/>
      <c r="E10" s="37"/>
      <c r="F10" s="3" t="e">
        <f>AVERAGE(I14,I16,I18,I20)</f>
        <v>#DIV/0!</v>
      </c>
      <c r="G10" s="3" t="e">
        <f>AVERAGE(J14,J16,J18,J20)</f>
        <v>#DIV/0!</v>
      </c>
      <c r="H10" s="42"/>
      <c r="I10" s="67"/>
      <c r="J10" s="43"/>
      <c r="K10" s="42"/>
      <c r="L10" s="43"/>
    </row>
    <row r="11" spans="1:12" ht="24.95" customHeight="1" thickBot="1" x14ac:dyDescent="0.25">
      <c r="A11" s="54" t="s">
        <v>8</v>
      </c>
      <c r="B11" s="56" t="s">
        <v>7</v>
      </c>
      <c r="C11" s="57"/>
      <c r="D11" s="56" t="s">
        <v>6</v>
      </c>
      <c r="E11" s="57"/>
      <c r="F11" s="56" t="s">
        <v>5</v>
      </c>
      <c r="G11" s="70"/>
      <c r="H11" s="57"/>
      <c r="I11" s="72" t="s">
        <v>4</v>
      </c>
      <c r="J11" s="73"/>
      <c r="K11" s="68" t="s">
        <v>3</v>
      </c>
      <c r="L11" s="57" t="s">
        <v>2</v>
      </c>
    </row>
    <row r="12" spans="1:12" ht="24.95" customHeight="1" thickBot="1" x14ac:dyDescent="0.25">
      <c r="A12" s="55"/>
      <c r="B12" s="58"/>
      <c r="C12" s="59"/>
      <c r="D12" s="58"/>
      <c r="E12" s="59"/>
      <c r="F12" s="58"/>
      <c r="G12" s="71"/>
      <c r="H12" s="59"/>
      <c r="I12" s="5" t="s">
        <v>1</v>
      </c>
      <c r="J12" s="24" t="s">
        <v>0</v>
      </c>
      <c r="K12" s="69"/>
      <c r="L12" s="59"/>
    </row>
    <row r="13" spans="1:12" ht="24.95" customHeight="1" thickBot="1" x14ac:dyDescent="0.25">
      <c r="A13" s="44">
        <v>0.33333333333333331</v>
      </c>
      <c r="B13" s="29"/>
      <c r="C13" s="31"/>
      <c r="D13" s="29"/>
      <c r="E13" s="31"/>
      <c r="F13" s="46"/>
      <c r="G13" s="47"/>
      <c r="H13" s="48"/>
      <c r="I13" s="52"/>
      <c r="J13" s="53"/>
      <c r="K13" s="26"/>
      <c r="L13" s="26"/>
    </row>
    <row r="14" spans="1:12" ht="24.95" customHeight="1" thickBot="1" x14ac:dyDescent="0.25">
      <c r="A14" s="45"/>
      <c r="B14" s="35"/>
      <c r="C14" s="37"/>
      <c r="D14" s="35"/>
      <c r="E14" s="37"/>
      <c r="F14" s="49"/>
      <c r="G14" s="50"/>
      <c r="H14" s="51"/>
      <c r="I14" s="3"/>
      <c r="J14" s="23"/>
      <c r="K14" s="27"/>
      <c r="L14" s="27"/>
    </row>
    <row r="15" spans="1:12" ht="24.95" customHeight="1" thickBot="1" x14ac:dyDescent="0.25">
      <c r="A15" s="44">
        <v>0.41666666666666669</v>
      </c>
      <c r="B15" s="29"/>
      <c r="C15" s="31"/>
      <c r="D15" s="29"/>
      <c r="E15" s="31"/>
      <c r="F15" s="46"/>
      <c r="G15" s="47"/>
      <c r="H15" s="48"/>
      <c r="I15" s="52"/>
      <c r="J15" s="53"/>
      <c r="K15" s="26"/>
      <c r="L15" s="26"/>
    </row>
    <row r="16" spans="1:12" ht="24.95" customHeight="1" thickBot="1" x14ac:dyDescent="0.25">
      <c r="A16" s="45"/>
      <c r="B16" s="35"/>
      <c r="C16" s="37"/>
      <c r="D16" s="35"/>
      <c r="E16" s="37"/>
      <c r="F16" s="49"/>
      <c r="G16" s="50"/>
      <c r="H16" s="51"/>
      <c r="I16" s="3"/>
      <c r="J16" s="23"/>
      <c r="K16" s="27"/>
      <c r="L16" s="27"/>
    </row>
    <row r="17" spans="1:12" ht="24.95" customHeight="1" thickBot="1" x14ac:dyDescent="0.25">
      <c r="A17" s="44">
        <v>0.5</v>
      </c>
      <c r="B17" s="29"/>
      <c r="C17" s="31"/>
      <c r="D17" s="29"/>
      <c r="E17" s="31"/>
      <c r="F17" s="46"/>
      <c r="G17" s="47"/>
      <c r="H17" s="25"/>
      <c r="I17" s="40"/>
      <c r="J17" s="41"/>
      <c r="K17" s="40"/>
      <c r="L17" s="41"/>
    </row>
    <row r="18" spans="1:12" ht="24.95" customHeight="1" thickBot="1" x14ac:dyDescent="0.25">
      <c r="A18" s="45"/>
      <c r="B18" s="35"/>
      <c r="C18" s="37"/>
      <c r="D18" s="35"/>
      <c r="E18" s="37"/>
      <c r="F18" s="49"/>
      <c r="G18" s="50"/>
      <c r="H18" s="9"/>
      <c r="I18" s="42"/>
      <c r="J18" s="43"/>
      <c r="K18" s="42"/>
      <c r="L18" s="43"/>
    </row>
    <row r="19" spans="1:12" ht="24.95" customHeight="1" thickBot="1" x14ac:dyDescent="0.25">
      <c r="A19" s="44">
        <v>0.58333333333333337</v>
      </c>
      <c r="B19" s="29"/>
      <c r="C19" s="30"/>
      <c r="D19" s="30"/>
      <c r="E19" s="31"/>
      <c r="F19" s="46"/>
      <c r="G19" s="47"/>
      <c r="H19" s="48"/>
      <c r="I19" s="52"/>
      <c r="J19" s="53"/>
      <c r="K19" s="26"/>
      <c r="L19" s="26"/>
    </row>
    <row r="20" spans="1:12" ht="24.95" customHeight="1" thickBot="1" x14ac:dyDescent="0.25">
      <c r="A20" s="45"/>
      <c r="B20" s="35"/>
      <c r="C20" s="36"/>
      <c r="D20" s="36"/>
      <c r="E20" s="37"/>
      <c r="F20" s="49"/>
      <c r="G20" s="50"/>
      <c r="H20" s="51"/>
      <c r="I20" s="3"/>
      <c r="J20" s="23"/>
      <c r="K20" s="27"/>
      <c r="L20" s="27"/>
    </row>
    <row r="21" spans="1:12" ht="50.1" customHeight="1" thickBot="1" x14ac:dyDescent="0.25">
      <c r="A21" s="1">
        <v>0.66666666666666663</v>
      </c>
      <c r="B21" s="28"/>
      <c r="C21" s="28"/>
      <c r="D21" s="28"/>
      <c r="E21" s="28"/>
      <c r="F21" s="29"/>
      <c r="G21" s="30"/>
      <c r="H21" s="30"/>
      <c r="I21" s="30"/>
      <c r="J21" s="30"/>
      <c r="K21" s="30"/>
      <c r="L21" s="31"/>
    </row>
    <row r="22" spans="1:12" ht="50.1" customHeight="1" thickBot="1" x14ac:dyDescent="0.25">
      <c r="A22" s="1">
        <v>0.83333333333333337</v>
      </c>
      <c r="B22" s="28"/>
      <c r="C22" s="28"/>
      <c r="D22" s="28"/>
      <c r="E22" s="28"/>
      <c r="F22" s="32"/>
      <c r="G22" s="33"/>
      <c r="H22" s="33"/>
      <c r="I22" s="33"/>
      <c r="J22" s="33"/>
      <c r="K22" s="33"/>
      <c r="L22" s="34"/>
    </row>
    <row r="23" spans="1:12" ht="50.1" customHeight="1" thickBot="1" x14ac:dyDescent="0.25">
      <c r="A23" s="1">
        <v>1</v>
      </c>
      <c r="B23" s="38"/>
      <c r="C23" s="39"/>
      <c r="D23" s="38"/>
      <c r="E23" s="39"/>
      <c r="F23" s="32"/>
      <c r="G23" s="33"/>
      <c r="H23" s="33"/>
      <c r="I23" s="33"/>
      <c r="J23" s="33"/>
      <c r="K23" s="33"/>
      <c r="L23" s="34"/>
    </row>
    <row r="24" spans="1:12" ht="50.1" customHeight="1" thickBot="1" x14ac:dyDescent="0.25">
      <c r="A24" s="1">
        <v>0.16666666666666666</v>
      </c>
      <c r="B24" s="28"/>
      <c r="C24" s="28"/>
      <c r="D24" s="28"/>
      <c r="E24" s="28"/>
      <c r="F24" s="35"/>
      <c r="G24" s="36"/>
      <c r="H24" s="36"/>
      <c r="I24" s="36"/>
      <c r="J24" s="36"/>
      <c r="K24" s="36"/>
      <c r="L24" s="37"/>
    </row>
  </sheetData>
  <mergeCells count="67">
    <mergeCell ref="B19:E20"/>
    <mergeCell ref="F19:H20"/>
    <mergeCell ref="I19:J19"/>
    <mergeCell ref="K19:K20"/>
    <mergeCell ref="B21:C21"/>
    <mergeCell ref="D21:E21"/>
    <mergeCell ref="F21:L24"/>
    <mergeCell ref="B22:C22"/>
    <mergeCell ref="D22:E22"/>
    <mergeCell ref="B23:C23"/>
    <mergeCell ref="D23:E23"/>
    <mergeCell ref="B24:C24"/>
    <mergeCell ref="D24:E24"/>
    <mergeCell ref="L19:L20"/>
    <mergeCell ref="K15:K16"/>
    <mergeCell ref="A17:A18"/>
    <mergeCell ref="B17:C18"/>
    <mergeCell ref="D17:E18"/>
    <mergeCell ref="F17:G18"/>
    <mergeCell ref="K17:L18"/>
    <mergeCell ref="I17:J18"/>
    <mergeCell ref="A15:A16"/>
    <mergeCell ref="B15:C16"/>
    <mergeCell ref="D15:E16"/>
    <mergeCell ref="F15:H16"/>
    <mergeCell ref="I15:J15"/>
    <mergeCell ref="A19:A20"/>
    <mergeCell ref="L11:L12"/>
    <mergeCell ref="A13:A14"/>
    <mergeCell ref="B13:C14"/>
    <mergeCell ref="D13:E14"/>
    <mergeCell ref="F13:H14"/>
    <mergeCell ref="I13:J13"/>
    <mergeCell ref="K13:K14"/>
    <mergeCell ref="L13:L14"/>
    <mergeCell ref="A11:A12"/>
    <mergeCell ref="B11:C12"/>
    <mergeCell ref="D11:E12"/>
    <mergeCell ref="F11:H12"/>
    <mergeCell ref="I11:J11"/>
    <mergeCell ref="K11:K12"/>
    <mergeCell ref="L15:L16"/>
    <mergeCell ref="K9:L10"/>
    <mergeCell ref="A7:A8"/>
    <mergeCell ref="B7:C8"/>
    <mergeCell ref="D7:E8"/>
    <mergeCell ref="F7:G7"/>
    <mergeCell ref="H7:J8"/>
    <mergeCell ref="K7:L8"/>
    <mergeCell ref="A9:A10"/>
    <mergeCell ref="B9:C10"/>
    <mergeCell ref="D9:E10"/>
    <mergeCell ref="F9:G9"/>
    <mergeCell ref="H9:J10"/>
    <mergeCell ref="A5:L5"/>
    <mergeCell ref="A1:L1"/>
    <mergeCell ref="A2:L2"/>
    <mergeCell ref="A3:B3"/>
    <mergeCell ref="C3:D3"/>
    <mergeCell ref="E3:G3"/>
    <mergeCell ref="H3:J3"/>
    <mergeCell ref="K3:L3"/>
    <mergeCell ref="A4:B4"/>
    <mergeCell ref="C4:D4"/>
    <mergeCell ref="E4:G4"/>
    <mergeCell ref="H4:J4"/>
    <mergeCell ref="K4:L4"/>
  </mergeCells>
  <conditionalFormatting sqref="D9">
    <cfRule type="cellIs" dxfId="21" priority="25" operator="greaterThan">
      <formula>7</formula>
    </cfRule>
  </conditionalFormatting>
  <conditionalFormatting sqref="F9">
    <cfRule type="cellIs" dxfId="20" priority="24" operator="greaterThan">
      <formula>20</formula>
    </cfRule>
  </conditionalFormatting>
  <conditionalFormatting sqref="H9:J10">
    <cfRule type="cellIs" dxfId="19" priority="23" operator="lessThan">
      <formula>80</formula>
    </cfRule>
  </conditionalFormatting>
  <conditionalFormatting sqref="K9:L10">
    <cfRule type="cellIs" dxfId="18" priority="22" operator="greaterThan">
      <formula>0</formula>
    </cfRule>
  </conditionalFormatting>
  <conditionalFormatting sqref="B24:E24 B23 D23 B22:E22 B21:F21 B15 B19 D13 B13">
    <cfRule type="cellIs" dxfId="17" priority="21" operator="greaterThan">
      <formula>7</formula>
    </cfRule>
  </conditionalFormatting>
  <conditionalFormatting sqref="I15 I13">
    <cfRule type="cellIs" dxfId="16" priority="20" operator="greaterThan">
      <formula>20</formula>
    </cfRule>
  </conditionalFormatting>
  <conditionalFormatting sqref="K15 K13">
    <cfRule type="cellIs" dxfId="15" priority="19" stopIfTrue="1" operator="lessThan">
      <formula>80</formula>
    </cfRule>
  </conditionalFormatting>
  <conditionalFormatting sqref="L15 L13">
    <cfRule type="cellIs" dxfId="14" priority="18" operator="greaterThan">
      <formula>0</formula>
    </cfRule>
  </conditionalFormatting>
  <conditionalFormatting sqref="F15 F19 F13">
    <cfRule type="cellIs" dxfId="13" priority="17" stopIfTrue="1" operator="greaterThan">
      <formula>10</formula>
    </cfRule>
  </conditionalFormatting>
  <conditionalFormatting sqref="K19">
    <cfRule type="cellIs" dxfId="12" priority="16" stopIfTrue="1" operator="lessThan">
      <formula>80</formula>
    </cfRule>
  </conditionalFormatting>
  <conditionalFormatting sqref="I14:J14">
    <cfRule type="cellIs" dxfId="11" priority="15" operator="greaterThan">
      <formula>20</formula>
    </cfRule>
  </conditionalFormatting>
  <conditionalFormatting sqref="J16">
    <cfRule type="cellIs" dxfId="10" priority="14" operator="greaterThan">
      <formula>20</formula>
    </cfRule>
  </conditionalFormatting>
  <conditionalFormatting sqref="I16:I17">
    <cfRule type="cellIs" dxfId="9" priority="13" operator="greaterThan">
      <formula>20</formula>
    </cfRule>
  </conditionalFormatting>
  <conditionalFormatting sqref="I19">
    <cfRule type="cellIs" dxfId="8" priority="11" operator="greaterThan">
      <formula>20</formula>
    </cfRule>
  </conditionalFormatting>
  <conditionalFormatting sqref="I20">
    <cfRule type="cellIs" dxfId="7" priority="10" operator="greaterThan">
      <formula>20</formula>
    </cfRule>
  </conditionalFormatting>
  <conditionalFormatting sqref="J20">
    <cfRule type="cellIs" dxfId="6" priority="9" operator="greaterThan">
      <formula>20</formula>
    </cfRule>
  </conditionalFormatting>
  <conditionalFormatting sqref="D15">
    <cfRule type="cellIs" dxfId="5" priority="8" operator="greaterThan">
      <formula>7</formula>
    </cfRule>
  </conditionalFormatting>
  <conditionalFormatting sqref="D17">
    <cfRule type="cellIs" dxfId="4" priority="7" operator="greaterThan">
      <formula>7</formula>
    </cfRule>
  </conditionalFormatting>
  <conditionalFormatting sqref="B17">
    <cfRule type="cellIs" dxfId="3" priority="6" operator="greaterThan">
      <formula>7</formula>
    </cfRule>
  </conditionalFormatting>
  <conditionalFormatting sqref="L19">
    <cfRule type="cellIs" dxfId="2" priority="3" operator="greaterThan">
      <formula>0</formula>
    </cfRule>
  </conditionalFormatting>
  <conditionalFormatting sqref="F17">
    <cfRule type="cellIs" dxfId="1" priority="2" stopIfTrue="1" operator="greaterThan">
      <formula>10</formula>
    </cfRule>
  </conditionalFormatting>
  <conditionalFormatting sqref="K17">
    <cfRule type="cellIs" dxfId="0" priority="1" operator="greaterThan">
      <formula>20</formula>
    </cfRule>
  </conditionalFormatting>
  <printOptions horizontalCentered="1"/>
  <pageMargins left="0.7" right="0.7" top="0.75" bottom="0.75" header="0.3" footer="0.3"/>
  <pageSetup scale="58" orientation="landscape" r:id="rId1"/>
  <headerFooter>
    <oddFooter xml:space="preserve">&amp;L&amp;"Traditional Arabic,Bold"&amp;20                   &amp;"Traditional Arabic,Regular"Contractor&amp;R&amp;"Traditional Arabic,Regular"&amp;20Client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2025-11-16T06:02:53Z</dcterms:modified>
</cp:coreProperties>
</file>